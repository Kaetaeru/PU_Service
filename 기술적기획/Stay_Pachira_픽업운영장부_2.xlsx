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예약장부" sheetId="1" state="visible" r:id="rId3"/>
    <sheet name="월별요약" sheetId="2" state="visible" r:id="rId4"/>
    <sheet name="요금표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K4" authorId="0">
      <text>
        <r>
          <rPr>
            <sz val="10"/>
            <rFont val="Noto Sans CJK SC"/>
            <family val="2"/>
          </rPr>
          <t xml:space="preserve">세금 제외 기본 요금</t>
        </r>
        <r>
          <rPr>
            <sz val="10"/>
            <rFont val="Arial"/>
            <family val="2"/>
          </rPr>
          <t xml:space="preserve">(</t>
        </r>
        <r>
          <rPr>
            <sz val="10"/>
            <rFont val="Noto Sans CJK SC"/>
            <family val="2"/>
          </rPr>
          <t xml:space="preserve">경유비</t>
        </r>
        <r>
          <rPr>
            <sz val="10"/>
            <rFont val="Arial"/>
            <family val="2"/>
          </rPr>
          <t xml:space="preserve">·</t>
        </r>
        <r>
          <rPr>
            <sz val="10"/>
            <rFont val="Noto Sans CJK SC"/>
            <family val="2"/>
          </rPr>
          <t xml:space="preserve">카시트 포함</t>
        </r>
        <r>
          <rPr>
            <sz val="10"/>
            <rFont val="Arial"/>
            <family val="2"/>
          </rPr>
          <t xml:space="preserve">).
</t>
        </r>
        <r>
          <rPr>
            <sz val="10"/>
            <rFont val="Noto Sans CJK SC"/>
            <family val="2"/>
          </rPr>
          <t xml:space="preserve">요금표 시트 참조</t>
        </r>
      </text>
    </comment>
    <comment ref="L4" authorId="0">
      <text>
        <r>
          <rPr>
            <sz val="10"/>
            <rFont val="Noto Sans CJK SC"/>
            <family val="2"/>
          </rPr>
          <t xml:space="preserve">자동계산</t>
        </r>
        <r>
          <rPr>
            <sz val="10"/>
            <rFont val="Arial"/>
            <family val="2"/>
          </rPr>
          <t xml:space="preserve">: </t>
        </r>
        <r>
          <rPr>
            <sz val="10"/>
            <rFont val="Noto Sans CJK SC"/>
            <family val="2"/>
          </rPr>
          <t xml:space="preserve">공급가 </t>
        </r>
        <r>
          <rPr>
            <sz val="10"/>
            <rFont val="Arial"/>
            <family val="2"/>
          </rPr>
          <t xml:space="preserve">× 10%</t>
        </r>
      </text>
    </comment>
    <comment ref="M4" authorId="0">
      <text>
        <r>
          <rPr>
            <sz val="10"/>
            <rFont val="Noto Sans CJK SC"/>
            <family val="2"/>
          </rPr>
          <t xml:space="preserve">자동계산</t>
        </r>
        <r>
          <rPr>
            <sz val="10"/>
            <rFont val="Arial"/>
            <family val="2"/>
          </rPr>
          <t xml:space="preserve">: </t>
        </r>
        <r>
          <rPr>
            <sz val="10"/>
            <rFont val="Noto Sans CJK SC"/>
            <family val="2"/>
          </rPr>
          <t xml:space="preserve">공급가 </t>
        </r>
        <r>
          <rPr>
            <sz val="10"/>
            <rFont val="Arial"/>
            <family val="2"/>
          </rPr>
          <t xml:space="preserve">+ </t>
        </r>
        <r>
          <rPr>
            <sz val="10"/>
            <rFont val="Noto Sans CJK SC"/>
            <family val="2"/>
          </rPr>
          <t xml:space="preserve">세금</t>
        </r>
      </text>
    </comment>
    <comment ref="O4" authorId="0">
      <text>
        <r>
          <rPr>
            <sz val="10"/>
            <rFont val="Noto Sans CJK SC"/>
            <family val="2"/>
          </rPr>
          <t xml:space="preserve">자동계산</t>
        </r>
        <r>
          <rPr>
            <sz val="10"/>
            <rFont val="Arial"/>
            <family val="2"/>
          </rPr>
          <t xml:space="preserve">: </t>
        </r>
        <r>
          <rPr>
            <sz val="10"/>
            <rFont val="Noto Sans CJK SC"/>
            <family val="2"/>
          </rPr>
          <t xml:space="preserve">세금포함총액 </t>
        </r>
        <r>
          <rPr>
            <sz val="10"/>
            <rFont val="Arial"/>
            <family val="2"/>
          </rPr>
          <t xml:space="preserve">- </t>
        </r>
        <r>
          <rPr>
            <sz val="10"/>
            <rFont val="Noto Sans CJK SC"/>
            <family val="2"/>
          </rPr>
          <t xml:space="preserve">게스트지불
</t>
        </r>
        <r>
          <rPr>
            <sz val="10"/>
            <rFont val="Arial"/>
            <family val="2"/>
          </rPr>
          <t xml:space="preserve">= </t>
        </r>
        <r>
          <rPr>
            <sz val="10"/>
            <rFont val="Noto Sans CJK SC"/>
            <family val="2"/>
          </rPr>
          <t xml:space="preserve">호스트가 기사에게 지급할 금액</t>
        </r>
      </text>
    </comment>
    <comment ref="T4" authorId="0">
      <text>
        <r>
          <rPr>
            <sz val="10"/>
            <rFont val="Noto Sans CJK SC"/>
            <family val="2"/>
          </rPr>
          <t xml:space="preserve">배차대기 → 배차완료 → 안내완료</t>
        </r>
        <r>
          <rPr>
            <sz val="10"/>
            <rFont val="Arial"/>
            <family val="2"/>
          </rPr>
          <t xml:space="preserve">(</t>
        </r>
        <r>
          <rPr>
            <sz val="10"/>
            <rFont val="Noto Sans CJK SC"/>
            <family val="2"/>
          </rPr>
          <t xml:space="preserve">게스트에게 전달</t>
        </r>
        <r>
          <rPr>
            <sz val="10"/>
            <rFont val="Arial"/>
            <family val="2"/>
          </rPr>
          <t xml:space="preserve">)</t>
        </r>
      </text>
    </comment>
  </commentList>
</comments>
</file>

<file path=xl/sharedStrings.xml><?xml version="1.0" encoding="utf-8"?>
<sst xmlns="http://schemas.openxmlformats.org/spreadsheetml/2006/main" count="232" uniqueCount="162">
  <si>
    <r>
      <rPr>
        <b val="true"/>
        <sz val="15"/>
        <color rgb="FF2C4D37"/>
        <rFont val="Arial"/>
        <family val="0"/>
        <charset val="1"/>
      </rPr>
      <t xml:space="preserve">Stay Pachira · </t>
    </r>
    <r>
      <rPr>
        <b val="true"/>
        <sz val="15"/>
        <color rgb="FF2C4D37"/>
        <rFont val="Noto Sans CJK SC"/>
        <family val="2"/>
      </rPr>
      <t xml:space="preserve">픽업</t>
    </r>
    <r>
      <rPr>
        <b val="true"/>
        <sz val="15"/>
        <color rgb="FF2C4D37"/>
        <rFont val="Arial"/>
        <family val="0"/>
        <charset val="1"/>
      </rPr>
      <t xml:space="preserve">/</t>
    </r>
    <r>
      <rPr>
        <b val="true"/>
        <sz val="15"/>
        <color rgb="FF2C4D37"/>
        <rFont val="Noto Sans CJK SC"/>
        <family val="2"/>
      </rPr>
      <t xml:space="preserve">드랍오프 운영장부</t>
    </r>
  </si>
  <si>
    <t xml:space="preserve">파란 글자 셀에 입력 · 회색 셀(월·세금·세금포함총액·호스트부담)은 자동 계산</t>
  </si>
  <si>
    <t xml:space="preserve">번호</t>
  </si>
  <si>
    <t xml:space="preserve">월</t>
  </si>
  <si>
    <t xml:space="preserve">날짜</t>
  </si>
  <si>
    <t xml:space="preserve">시간</t>
  </si>
  <si>
    <t xml:space="preserve">구분</t>
  </si>
  <si>
    <t xml:space="preserve">대표게스트</t>
  </si>
  <si>
    <t xml:space="preserve">항공편</t>
  </si>
  <si>
    <t xml:space="preserve">인원</t>
  </si>
  <si>
    <t xml:space="preserve">경로</t>
  </si>
  <si>
    <t xml:space="preserve">도착지</t>
  </si>
  <si>
    <t xml:space="preserve">공급가</t>
  </si>
  <si>
    <t xml:space="preserve">세금(10%)</t>
  </si>
  <si>
    <t xml:space="preserve">세금포함 총액</t>
  </si>
  <si>
    <t xml:space="preserve">게스트지불</t>
  </si>
  <si>
    <t xml:space="preserve">호스트부담</t>
  </si>
  <si>
    <t xml:space="preserve">입금상태</t>
  </si>
  <si>
    <t xml:space="preserve">메모</t>
  </si>
  <si>
    <t xml:space="preserve">차량번호</t>
  </si>
  <si>
    <t xml:space="preserve">기사연락처</t>
  </si>
  <si>
    <t xml:space="preserve">배차상태</t>
  </si>
  <si>
    <t xml:space="preserve">11:20</t>
  </si>
  <si>
    <t xml:space="preserve">픽업</t>
  </si>
  <si>
    <t xml:space="preserve">Peter Dai Petersen</t>
  </si>
  <si>
    <r>
      <rPr>
        <sz val="10"/>
        <color rgb="FF0000FF"/>
        <rFont val="Arial"/>
        <family val="0"/>
        <charset val="1"/>
      </rPr>
      <t xml:space="preserve">AY0041 </t>
    </r>
    <r>
      <rPr>
        <sz val="10"/>
        <color rgb="FF0000FF"/>
        <rFont val="Noto Sans CJK SC"/>
        <family val="2"/>
      </rPr>
      <t xml:space="preserve">핀에어</t>
    </r>
  </si>
  <si>
    <t xml:space="preserve">인천공항 → 이태원</t>
  </si>
  <si>
    <t xml:space="preserve">파키라하우스 (이연공방)</t>
  </si>
  <si>
    <t xml:space="preserve">입금완료</t>
  </si>
  <si>
    <t xml:space="preserve">헬싱키발</t>
  </si>
  <si>
    <t xml:space="preserve">12:20</t>
  </si>
  <si>
    <t xml:space="preserve">Jennifer Wilson</t>
  </si>
  <si>
    <r>
      <rPr>
        <sz val="10"/>
        <color rgb="FF0000FF"/>
        <rFont val="Arial"/>
        <family val="0"/>
        <charset val="1"/>
      </rPr>
      <t xml:space="preserve">MM737 </t>
    </r>
    <r>
      <rPr>
        <sz val="10"/>
        <color rgb="FF0000FF"/>
        <rFont val="Noto Sans CJK SC"/>
        <family val="2"/>
      </rPr>
      <t xml:space="preserve">피치</t>
    </r>
  </si>
  <si>
    <t xml:space="preserve">김포공항 → 이태원</t>
  </si>
  <si>
    <t xml:space="preserve">오사카발 / 김포 T1</t>
  </si>
  <si>
    <t xml:space="preserve">14:00</t>
  </si>
  <si>
    <t xml:space="preserve">Nayada Teerawongwirat</t>
  </si>
  <si>
    <r>
      <rPr>
        <sz val="10"/>
        <color rgb="FF0000FF"/>
        <rFont val="Arial"/>
        <family val="0"/>
        <charset val="1"/>
      </rPr>
      <t xml:space="preserve">TW404 </t>
    </r>
    <r>
      <rPr>
        <sz val="10"/>
        <color rgb="FF0000FF"/>
        <rFont val="Noto Sans CJK SC"/>
        <family val="2"/>
      </rPr>
      <t xml:space="preserve">티웨이</t>
    </r>
  </si>
  <si>
    <t xml:space="preserve">인천공항 → 홍대</t>
  </si>
  <si>
    <t xml:space="preserve">와우산로</t>
  </si>
  <si>
    <t xml:space="preserve">성인4+유아1 / 인천 T1</t>
  </si>
  <si>
    <t xml:space="preserve">14:50</t>
  </si>
  <si>
    <t xml:space="preserve">Chernova Viktoriia</t>
  </si>
  <si>
    <r>
      <rPr>
        <sz val="10"/>
        <color rgb="FF0000FF"/>
        <rFont val="Arial"/>
        <family val="0"/>
        <charset val="1"/>
      </rPr>
      <t xml:space="preserve">MU2073 </t>
    </r>
    <r>
      <rPr>
        <sz val="10"/>
        <color rgb="FF0000FF"/>
        <rFont val="Noto Sans CJK SC"/>
        <family val="2"/>
      </rPr>
      <t xml:space="preserve">중국동방</t>
    </r>
  </si>
  <si>
    <t xml:space="preserve">18:35</t>
  </si>
  <si>
    <t xml:space="preserve">Annika Norr</t>
  </si>
  <si>
    <r>
      <rPr>
        <sz val="10"/>
        <color rgb="FF0000FF"/>
        <rFont val="Arial"/>
        <family val="0"/>
        <charset val="1"/>
      </rPr>
      <t xml:space="preserve">SK987 </t>
    </r>
    <r>
      <rPr>
        <sz val="10"/>
        <color rgb="FF0000FF"/>
        <rFont val="Noto Sans CJK SC"/>
        <family val="2"/>
      </rPr>
      <t xml:space="preserve">스칸디나비아</t>
    </r>
  </si>
  <si>
    <t xml:space="preserve">코펜하겐발</t>
  </si>
  <si>
    <t xml:space="preserve">20:00</t>
  </si>
  <si>
    <t xml:space="preserve">Chen Chien-Tung</t>
  </si>
  <si>
    <r>
      <rPr>
        <sz val="10"/>
        <color rgb="FF0000FF"/>
        <rFont val="Arial"/>
        <family val="0"/>
        <charset val="1"/>
      </rPr>
      <t xml:space="preserve">TW672 </t>
    </r>
    <r>
      <rPr>
        <sz val="10"/>
        <color rgb="FF0000FF"/>
        <rFont val="Noto Sans CJK SC"/>
        <family val="2"/>
      </rPr>
      <t xml:space="preserve">티웨이</t>
    </r>
  </si>
  <si>
    <t xml:space="preserve">성인2+아동1(12세)</t>
  </si>
  <si>
    <t xml:space="preserve">18:30</t>
  </si>
  <si>
    <t xml:space="preserve">드랍오프</t>
  </si>
  <si>
    <t xml:space="preserve">Norr</t>
  </si>
  <si>
    <t xml:space="preserve">이태원 → 인천공항</t>
  </si>
  <si>
    <t xml:space="preserve">파키라하우스 (이연공방) 출발</t>
  </si>
  <si>
    <t xml:space="preserve">입금예정</t>
  </si>
  <si>
    <t xml:space="preserve">숙소출발 18:30</t>
  </si>
  <si>
    <t xml:space="preserve">17:40</t>
  </si>
  <si>
    <t xml:space="preserve">Pablo Roman Quevedo</t>
  </si>
  <si>
    <r>
      <rPr>
        <sz val="10"/>
        <color rgb="FF0000FF"/>
        <rFont val="Arial"/>
        <family val="0"/>
        <charset val="1"/>
      </rPr>
      <t xml:space="preserve">TK90 </t>
    </r>
    <r>
      <rPr>
        <sz val="10"/>
        <color rgb="FF0000FF"/>
        <rFont val="Noto Sans CJK SC"/>
        <family val="2"/>
      </rPr>
      <t xml:space="preserve">터키항공</t>
    </r>
  </si>
  <si>
    <t xml:space="preserve">스테이파키라 (CU건물)</t>
  </si>
  <si>
    <r>
      <rPr>
        <sz val="10"/>
        <color rgb="FF0000FF"/>
        <rFont val="Arial"/>
        <family val="0"/>
        <charset val="1"/>
      </rPr>
      <t xml:space="preserve">7</t>
    </r>
    <r>
      <rPr>
        <sz val="10"/>
        <color rgb="FF0000FF"/>
        <rFont val="Noto Sans CJK SC"/>
        <family val="2"/>
      </rPr>
      <t xml:space="preserve">명 </t>
    </r>
    <r>
      <rPr>
        <sz val="10"/>
        <color rgb="FF0000FF"/>
        <rFont val="Arial"/>
        <family val="0"/>
        <charset val="1"/>
      </rPr>
      <t xml:space="preserve">- </t>
    </r>
    <r>
      <rPr>
        <sz val="10"/>
        <color rgb="FF0000FF"/>
        <rFont val="Noto Sans CJK SC"/>
        <family val="2"/>
      </rPr>
      <t xml:space="preserve">차량 정원 확인</t>
    </r>
  </si>
  <si>
    <t xml:space="preserve">17:30</t>
  </si>
  <si>
    <t xml:space="preserve">Shaveena Jeyaraj</t>
  </si>
  <si>
    <r>
      <rPr>
        <sz val="10"/>
        <color rgb="FF0000FF"/>
        <rFont val="Arial"/>
        <family val="0"/>
        <charset val="1"/>
      </rPr>
      <t xml:space="preserve">AC61 </t>
    </r>
    <r>
      <rPr>
        <sz val="10"/>
        <color rgb="FF0000FF"/>
        <rFont val="Noto Sans CJK SC"/>
        <family val="2"/>
      </rPr>
      <t xml:space="preserve">에어캐나다</t>
    </r>
  </si>
  <si>
    <t xml:space="preserve">파키라하우스 2층 (이연공방)</t>
  </si>
  <si>
    <t xml:space="preserve">같은날 Pablo건과 시간 중복</t>
  </si>
  <si>
    <t xml:space="preserve">Bella</t>
  </si>
  <si>
    <r>
      <rPr>
        <sz val="10"/>
        <color rgb="FF0000FF"/>
        <rFont val="Arial"/>
        <family val="0"/>
        <charset val="1"/>
      </rPr>
      <t xml:space="preserve">OZ360 </t>
    </r>
    <r>
      <rPr>
        <sz val="10"/>
        <color rgb="FF0000FF"/>
        <rFont val="Noto Sans CJK SC"/>
        <family val="2"/>
      </rPr>
      <t xml:space="preserve">아시아나</t>
    </r>
  </si>
  <si>
    <t xml:space="preserve">스테이파키라 6층 (CU건물)</t>
  </si>
  <si>
    <t xml:space="preserve">※ 도착시간 미확인 / 무료픽업</t>
  </si>
  <si>
    <t xml:space="preserve">17:00</t>
  </si>
  <si>
    <t xml:space="preserve">Familie Hillenaar</t>
  </si>
  <si>
    <r>
      <rPr>
        <sz val="10"/>
        <color rgb="FF0000FF"/>
        <rFont val="Arial"/>
        <family val="0"/>
        <charset val="1"/>
      </rPr>
      <t xml:space="preserve">KE926 </t>
    </r>
    <r>
      <rPr>
        <sz val="10"/>
        <color rgb="FF0000FF"/>
        <rFont val="Noto Sans CJK SC"/>
        <family val="2"/>
      </rPr>
      <t xml:space="preserve">대한항공</t>
    </r>
  </si>
  <si>
    <t xml:space="preserve">파키라하우스 3층 (이연공방)</t>
  </si>
  <si>
    <t xml:space="preserve">성인4+아동3(1·4·9세) / 카시트2개 / 예약번호 6332018117</t>
  </si>
  <si>
    <t xml:space="preserve">21:30</t>
  </si>
  <si>
    <t xml:space="preserve">Gaby</t>
  </si>
  <si>
    <t xml:space="preserve">이태원 → 인천공항 T1</t>
  </si>
  <si>
    <t xml:space="preserve">파키라하우스 1층 (이연공방) 출발</t>
  </si>
  <si>
    <t xml:space="preserve">※ 캐리어 6개 - 대형차량 필수</t>
  </si>
  <si>
    <t xml:space="preserve">08:25</t>
  </si>
  <si>
    <t xml:space="preserve">Mayurada</t>
  </si>
  <si>
    <r>
      <rPr>
        <sz val="10"/>
        <color rgb="FF0000FF"/>
        <rFont val="Arial"/>
        <family val="0"/>
        <charset val="1"/>
      </rPr>
      <t xml:space="preserve">LJ002 </t>
    </r>
    <r>
      <rPr>
        <sz val="10"/>
        <color rgb="FF0000FF"/>
        <rFont val="Noto Sans CJK SC"/>
        <family val="2"/>
      </rPr>
      <t xml:space="preserve">진에어</t>
    </r>
  </si>
  <si>
    <t xml:space="preserve">미입금</t>
  </si>
  <si>
    <t xml:space="preserve">※ 편명·도착공항 확인 필요</t>
  </si>
  <si>
    <t xml:space="preserve">09:35</t>
  </si>
  <si>
    <t xml:space="preserve">PIMBERT</t>
  </si>
  <si>
    <r>
      <rPr>
        <sz val="10"/>
        <color rgb="FF0000FF"/>
        <rFont val="Arial"/>
        <family val="0"/>
        <charset val="1"/>
      </rPr>
      <t xml:space="preserve">AF0264 </t>
    </r>
    <r>
      <rPr>
        <sz val="10"/>
        <color rgb="FF0000FF"/>
        <rFont val="Noto Sans CJK SC"/>
        <family val="2"/>
      </rPr>
      <t xml:space="preserve">에어프랑스</t>
    </r>
  </si>
  <si>
    <t xml:space="preserve">※ 도착공항 확인 필요</t>
  </si>
  <si>
    <t xml:space="preserve">10:55</t>
  </si>
  <si>
    <t xml:space="preserve">Nan</t>
  </si>
  <si>
    <r>
      <rPr>
        <sz val="10"/>
        <color rgb="FF0000FF"/>
        <rFont val="Arial"/>
        <family val="0"/>
        <charset val="1"/>
      </rPr>
      <t xml:space="preserve">MU5071 </t>
    </r>
    <r>
      <rPr>
        <sz val="10"/>
        <color rgb="FF0000FF"/>
        <rFont val="Noto Sans CJK SC"/>
        <family val="2"/>
      </rPr>
      <t xml:space="preserve">중국동방</t>
    </r>
  </si>
  <si>
    <t xml:space="preserve">인천 T1 / 인원 3~4명</t>
  </si>
  <si>
    <t xml:space="preserve">12:50</t>
  </si>
  <si>
    <t xml:space="preserve">Julia Hussmann-Medrano</t>
  </si>
  <si>
    <r>
      <rPr>
        <sz val="10"/>
        <color rgb="FF0000FF"/>
        <rFont val="Arial"/>
        <family val="0"/>
        <charset val="1"/>
      </rPr>
      <t xml:space="preserve">KE938 </t>
    </r>
    <r>
      <rPr>
        <sz val="10"/>
        <color rgb="FF0000FF"/>
        <rFont val="Noto Sans CJK SC"/>
        <family val="2"/>
      </rPr>
      <t xml:space="preserve">대한항공</t>
    </r>
  </si>
  <si>
    <t xml:space="preserve">성인2+아동3(11·7·5세) / 항공편 20분 지연(12:30→12:50)</t>
  </si>
  <si>
    <t xml:space="preserve">16:10</t>
  </si>
  <si>
    <t xml:space="preserve">Vincenza Quarato</t>
  </si>
  <si>
    <r>
      <rPr>
        <sz val="10"/>
        <color rgb="FF0000FF"/>
        <rFont val="Arial"/>
        <family val="0"/>
        <charset val="1"/>
      </rPr>
      <t xml:space="preserve">TW406 </t>
    </r>
    <r>
      <rPr>
        <sz val="10"/>
        <color rgb="FF0000FF"/>
        <rFont val="Noto Sans CJK SC"/>
        <family val="2"/>
      </rPr>
      <t xml:space="preserve">티웨이</t>
    </r>
  </si>
  <si>
    <t xml:space="preserve">로마 FCO발 / 가족6인 / 게스트 70,000 직접지불</t>
  </si>
  <si>
    <r>
      <rPr>
        <sz val="10"/>
        <color rgb="FF0000FF"/>
        <rFont val="Arial"/>
        <family val="0"/>
        <charset val="1"/>
      </rPr>
      <t xml:space="preserve">(</t>
    </r>
    <r>
      <rPr>
        <sz val="10"/>
        <color rgb="FF0000FF"/>
        <rFont val="Noto Sans CJK SC"/>
        <family val="2"/>
      </rPr>
      <t xml:space="preserve">대표게스트명 미확인</t>
    </r>
    <r>
      <rPr>
        <sz val="10"/>
        <color rgb="FF0000FF"/>
        <rFont val="Arial"/>
        <family val="0"/>
        <charset val="1"/>
      </rPr>
      <t xml:space="preserve">)</t>
    </r>
  </si>
  <si>
    <t xml:space="preserve">이태원 → 인천 영종</t>
  </si>
  <si>
    <t xml:space="preserve">인천 중구 영종 해맞이길 21, 2층</t>
  </si>
  <si>
    <t xml:space="preserve">※ 게스트 직접지불 / 공항 아닌 영종도 숙소 - 주소 재확인</t>
  </si>
  <si>
    <t xml:space="preserve">15:50</t>
  </si>
  <si>
    <t xml:space="preserve">Anna Tran</t>
  </si>
  <si>
    <r>
      <rPr>
        <sz val="10"/>
        <color rgb="FF0000FF"/>
        <rFont val="Arial"/>
        <family val="0"/>
        <charset val="1"/>
      </rPr>
      <t xml:space="preserve">YP102 </t>
    </r>
    <r>
      <rPr>
        <sz val="10"/>
        <color rgb="FF0000FF"/>
        <rFont val="Noto Sans CJK SC"/>
        <family val="2"/>
      </rPr>
      <t xml:space="preserve">에어프레미아</t>
    </r>
  </si>
  <si>
    <t xml:space="preserve">와우산로 (홍대)</t>
  </si>
  <si>
    <r>
      <rPr>
        <sz val="10"/>
        <color rgb="FF0000FF"/>
        <rFont val="Noto Sans CJK SC"/>
        <family val="2"/>
      </rPr>
      <t xml:space="preserve">경기</t>
    </r>
    <r>
      <rPr>
        <sz val="10"/>
        <color rgb="FF0000FF"/>
        <rFont val="Arial"/>
        <family val="0"/>
        <charset val="1"/>
      </rPr>
      <t xml:space="preserve">87</t>
    </r>
    <r>
      <rPr>
        <sz val="10"/>
        <color rgb="FF0000FF"/>
        <rFont val="Noto Sans CJK SC"/>
        <family val="2"/>
      </rPr>
      <t xml:space="preserve">바</t>
    </r>
    <r>
      <rPr>
        <sz val="10"/>
        <color rgb="FF0000FF"/>
        <rFont val="Arial"/>
        <family val="0"/>
        <charset val="1"/>
      </rPr>
      <t xml:space="preserve">8297</t>
    </r>
  </si>
  <si>
    <t xml:space="preserve">010-3033-0992</t>
  </si>
  <si>
    <t xml:space="preserve">배차완료</t>
  </si>
  <si>
    <t xml:space="preserve">전체 합계</t>
  </si>
  <si>
    <t xml:space="preserve">월별 지급·지불 현황</t>
  </si>
  <si>
    <t xml:space="preserve">예약장부를 채우면 자동 집계됩니다.</t>
  </si>
  <si>
    <t xml:space="preserve">총 건수</t>
  </si>
  <si>
    <t xml:space="preserve">호스트 부담</t>
  </si>
  <si>
    <t xml:space="preserve">2026-07</t>
  </si>
  <si>
    <t xml:space="preserve">2026-08</t>
  </si>
  <si>
    <t xml:space="preserve">2026-09</t>
  </si>
  <si>
    <t xml:space="preserve">2026-10</t>
  </si>
  <si>
    <t xml:space="preserve">2026-11</t>
  </si>
  <si>
    <t xml:space="preserve">2026-12</t>
  </si>
  <si>
    <t xml:space="preserve">합계</t>
  </si>
  <si>
    <t xml:space="preserve">입금 현황 (전체 기간)</t>
  </si>
  <si>
    <t xml:space="preserve">입금완료 건수</t>
  </si>
  <si>
    <t xml:space="preserve">입금완료 금액</t>
  </si>
  <si>
    <t xml:space="preserve">★ 입금예정 건수 (지금 지급)</t>
  </si>
  <si>
    <t xml:space="preserve">★ 입금예정 금액 (지금 지급)</t>
  </si>
  <si>
    <t xml:space="preserve">미입금 건수 (향후)</t>
  </si>
  <si>
    <t xml:space="preserve">미입금 금액 (향후)</t>
  </si>
  <si>
    <t xml:space="preserve">※ 기사 지급 완료 시 예약장부의 입금상태를 '입금완료'로 변경하세요.</t>
  </si>
  <si>
    <t xml:space="preserve">픽업 / 드랍오프 요금표</t>
  </si>
  <si>
    <t xml:space="preserve">출처: 호스트 제공 요금 기준 · 표기 금액은 세금 별도(공급가)</t>
  </si>
  <si>
    <t xml:space="preserve">구간</t>
  </si>
  <si>
    <r>
      <rPr>
        <b val="true"/>
        <sz val="10"/>
        <color rgb="FFFFFFFF"/>
        <rFont val="Arial"/>
        <family val="0"/>
        <charset val="1"/>
      </rPr>
      <t xml:space="preserve">1~4</t>
    </r>
    <r>
      <rPr>
        <b val="true"/>
        <sz val="10"/>
        <color rgb="FFFFFFFF"/>
        <rFont val="Noto Sans CJK SC"/>
        <family val="2"/>
      </rPr>
      <t xml:space="preserve">명</t>
    </r>
  </si>
  <si>
    <r>
      <rPr>
        <b val="true"/>
        <sz val="10"/>
        <color rgb="FFFFFFFF"/>
        <rFont val="Arial"/>
        <family val="0"/>
        <charset val="1"/>
      </rPr>
      <t xml:space="preserve">5~7</t>
    </r>
    <r>
      <rPr>
        <b val="true"/>
        <sz val="10"/>
        <color rgb="FFFFFFFF"/>
        <rFont val="Noto Sans CJK SC"/>
        <family val="2"/>
      </rPr>
      <t xml:space="preserve">명</t>
    </r>
  </si>
  <si>
    <t xml:space="preserve">비고</t>
  </si>
  <si>
    <r>
      <rPr>
        <sz val="9"/>
        <color rgb="FF808080"/>
        <rFont val="Arial"/>
        <family val="0"/>
        <charset val="1"/>
      </rPr>
      <t xml:space="preserve">5~7</t>
    </r>
    <r>
      <rPr>
        <sz val="9"/>
        <color rgb="FF808080"/>
        <rFont val="Noto Sans CJK SC"/>
        <family val="2"/>
      </rPr>
      <t xml:space="preserve">명 기준</t>
    </r>
  </si>
  <si>
    <t xml:space="preserve">홍대 → 인천공항</t>
  </si>
  <si>
    <t xml:space="preserve">서울역 → 이태원</t>
  </si>
  <si>
    <t xml:space="preserve">편도</t>
  </si>
  <si>
    <t xml:space="preserve">일산 → 이태원</t>
  </si>
  <si>
    <t xml:space="preserve">용인 에버랜드 → 이태원</t>
  </si>
  <si>
    <t xml:space="preserve">남이섬 투어</t>
  </si>
  <si>
    <t xml:space="preserve">하루</t>
  </si>
  <si>
    <r>
      <rPr>
        <sz val="10"/>
        <rFont val="Arial"/>
        <family val="0"/>
        <charset val="1"/>
      </rPr>
      <t xml:space="preserve">DMZ </t>
    </r>
    <r>
      <rPr>
        <sz val="10"/>
        <rFont val="Noto Sans CJK SC"/>
        <family val="2"/>
      </rPr>
      <t xml:space="preserve">투어</t>
    </r>
  </si>
  <si>
    <t xml:space="preserve">당일</t>
  </si>
  <si>
    <t xml:space="preserve">서울시내 투어</t>
  </si>
  <si>
    <r>
      <rPr>
        <sz val="10"/>
        <rFont val="Arial"/>
        <family val="0"/>
        <charset val="1"/>
      </rPr>
      <t xml:space="preserve">T1 ⇄ T2 </t>
    </r>
    <r>
      <rPr>
        <sz val="10"/>
        <rFont val="Noto Sans CJK SC"/>
        <family val="2"/>
      </rPr>
      <t xml:space="preserve">경유비</t>
    </r>
  </si>
  <si>
    <t xml:space="preserve">터미널 경유 시</t>
  </si>
  <si>
    <t xml:space="preserve">카시트</t>
  </si>
  <si>
    <r>
      <rPr>
        <sz val="9"/>
        <color rgb="FF808080"/>
        <rFont val="Arial"/>
        <family val="0"/>
        <charset val="1"/>
      </rPr>
      <t xml:space="preserve">1</t>
    </r>
    <r>
      <rPr>
        <sz val="9"/>
        <color rgb="FF808080"/>
        <rFont val="Noto Sans CJK SC"/>
        <family val="2"/>
      </rPr>
      <t xml:space="preserve">개당</t>
    </r>
  </si>
  <si>
    <t xml:space="preserve">도착지 주소</t>
  </si>
  <si>
    <t xml:space="preserve">파키라하우스</t>
  </si>
  <si>
    <t xml:space="preserve">이태원 (이연공방 앞), 이태원로16길 45</t>
  </si>
  <si>
    <t xml:space="preserve">스테이파키라</t>
  </si>
  <si>
    <r>
      <rPr>
        <sz val="10"/>
        <rFont val="Arial"/>
        <family val="0"/>
        <charset val="1"/>
      </rPr>
      <t xml:space="preserve">CU</t>
    </r>
    <r>
      <rPr>
        <sz val="10"/>
        <rFont val="Noto Sans CJK SC"/>
        <family val="2"/>
      </rPr>
      <t xml:space="preserve">건물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보광로</t>
    </r>
    <r>
      <rPr>
        <sz val="10"/>
        <rFont val="Arial"/>
        <family val="0"/>
        <charset val="1"/>
      </rPr>
      <t xml:space="preserve">59</t>
    </r>
    <r>
      <rPr>
        <sz val="10"/>
        <rFont val="Noto Sans CJK SC"/>
        <family val="2"/>
      </rPr>
      <t xml:space="preserve">길 </t>
    </r>
    <r>
      <rPr>
        <sz val="10"/>
        <rFont val="Arial"/>
        <family val="0"/>
        <charset val="1"/>
      </rPr>
      <t xml:space="preserve">36</t>
    </r>
  </si>
  <si>
    <t xml:space="preserve">홍대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</si>
</sst>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yyyy\-mm\-dd&quot; (&quot;ddd\)"/>
    <numFmt numFmtId="166" formatCode="#,##0\원;\(#,##0&quot;원)&quot;;\-"/>
    <numFmt numFmtId="167" formatCode="General"/>
  </numFmts>
  <fonts count="3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2C4D37"/>
      <name val="Arial"/>
      <family val="0"/>
      <charset val="1"/>
    </font>
    <font>
      <b val="true"/>
      <sz val="15"/>
      <color rgb="FF2C4D37"/>
      <name val="Noto Sans CJK SC"/>
      <family val="2"/>
    </font>
    <font>
      <i val="true"/>
      <sz val="9"/>
      <color rgb="FF808080"/>
      <name val="Noto Sans CJK SC"/>
      <family val="2"/>
      <charset val="1"/>
    </font>
    <font>
      <b val="true"/>
      <sz val="10"/>
      <color rgb="FFFFFFFF"/>
      <name val="Noto Sans CJK SC"/>
      <family val="2"/>
      <charset val="1"/>
    </font>
    <font>
      <b val="true"/>
      <sz val="10"/>
      <color rgb="FFFFFFFF"/>
      <name val="Noto Sans CJK SC"/>
      <family val="2"/>
    </font>
    <font>
      <sz val="10"/>
      <color rgb="FF808080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00FF"/>
      <name val="Noto Sans CJK SC"/>
      <family val="2"/>
      <charset val="1"/>
    </font>
    <font>
      <sz val="10"/>
      <color rgb="FF0000FF"/>
      <name val="Noto Sans CJK SC"/>
      <family val="2"/>
    </font>
    <font>
      <b val="true"/>
      <sz val="10"/>
      <color rgb="FFB7643F"/>
      <name val="Noto Sans CJK SC"/>
      <family val="2"/>
      <charset val="1"/>
    </font>
    <font>
      <b val="true"/>
      <sz val="11"/>
      <color rgb="FFFFFFFF"/>
      <name val="Noto Sans CJK SC"/>
      <family val="2"/>
      <charset val="1"/>
    </font>
    <font>
      <b val="true"/>
      <sz val="11"/>
      <color rgb="FFFFFFFF"/>
      <name val="Arial"/>
      <family val="0"/>
      <charset val="1"/>
    </font>
    <font>
      <sz val="10"/>
      <name val="Noto Sans CJK SC"/>
      <family val="2"/>
    </font>
    <font>
      <sz val="10"/>
      <name val="Arial"/>
      <family val="2"/>
    </font>
    <font>
      <b val="true"/>
      <sz val="15"/>
      <color rgb="FF2C4D37"/>
      <name val="Noto Sans CJK SC"/>
      <family val="2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B7643F"/>
      <name val="Arial"/>
      <family val="0"/>
      <charset val="1"/>
    </font>
    <font>
      <b val="true"/>
      <sz val="12"/>
      <color rgb="FF2C4D37"/>
      <name val="Noto Sans CJK SC"/>
      <family val="2"/>
      <charset val="1"/>
    </font>
    <font>
      <sz val="10"/>
      <name val="Noto Sans CJK SC"/>
      <family val="2"/>
      <charset val="1"/>
    </font>
    <font>
      <b val="true"/>
      <sz val="11"/>
      <color rgb="FF808080"/>
      <name val="Arial"/>
      <family val="0"/>
      <charset val="1"/>
    </font>
    <font>
      <b val="true"/>
      <sz val="10"/>
      <name val="Noto Sans CJK SC"/>
      <family val="2"/>
      <charset val="1"/>
    </font>
    <font>
      <b val="true"/>
      <sz val="11"/>
      <color rgb="FFB7643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9"/>
      <color rgb="FF808080"/>
      <name val="Arial"/>
      <family val="0"/>
      <charset val="1"/>
    </font>
    <font>
      <sz val="9"/>
      <color rgb="FF808080"/>
      <name val="Noto Sans CJK SC"/>
      <family val="2"/>
    </font>
    <font>
      <sz val="9"/>
      <color rgb="FF808080"/>
      <name val="Noto Sans CJK SC"/>
      <family val="2"/>
      <charset val="1"/>
    </font>
  </fonts>
  <fills count="10">
    <fill>
      <patternFill patternType="none"/>
    </fill>
    <fill>
      <patternFill patternType="gray125"/>
    </fill>
    <fill>
      <patternFill patternType="solid">
        <fgColor rgb="FF2C4D37"/>
        <bgColor rgb="FF333300"/>
      </patternFill>
    </fill>
    <fill>
      <patternFill patternType="solid">
        <fgColor rgb="FFF2F2F2"/>
        <bgColor rgb="FFE2ECE0"/>
      </patternFill>
    </fill>
    <fill>
      <patternFill patternType="solid">
        <fgColor rgb="FFE2ECE0"/>
        <bgColor rgb="FFD6EFD8"/>
      </patternFill>
    </fill>
    <fill>
      <patternFill patternType="solid">
        <fgColor rgb="FFD6EFD8"/>
        <bgColor rgb="FFE2ECE0"/>
      </patternFill>
    </fill>
    <fill>
      <patternFill patternType="solid">
        <fgColor rgb="FFF6E3D8"/>
        <bgColor rgb="FFFBE0E0"/>
      </patternFill>
    </fill>
    <fill>
      <patternFill patternType="solid">
        <fgColor rgb="FFFFF3CD"/>
        <bgColor rgb="FFF6E3D8"/>
      </patternFill>
    </fill>
    <fill>
      <patternFill patternType="solid">
        <fgColor rgb="FFFBE0E0"/>
        <bgColor rgb="FFF6E3D8"/>
      </patternFill>
    </fill>
    <fill>
      <patternFill patternType="solid">
        <fgColor rgb="FFFFFFFF"/>
        <bgColor rgb="FFF2F2F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1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11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10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2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8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9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4" fillId="7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3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5" fillId="2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16" fillId="2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6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21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21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22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5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3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4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25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25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26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27" fillId="7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27" fillId="7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8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4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9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1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1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1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21" fillId="7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31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4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9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6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B7643F"/>
      <rgbColor rgb="FF800080"/>
      <rgbColor rgb="FF008080"/>
      <rgbColor rgb="FFBFBFBF"/>
      <rgbColor rgb="FF808080"/>
      <rgbColor rgb="FF9999FF"/>
      <rgbColor rgb="FF993366"/>
      <rgbColor rgb="FFFFF3CD"/>
      <rgbColor rgb="FFE2ECE0"/>
      <rgbColor rgb="FF660066"/>
      <rgbColor rgb="FFFF8080"/>
      <rgbColor rgb="FF0066CC"/>
      <rgbColor rgb="FFFBE0E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D6EFD8"/>
      <rgbColor rgb="FFFFFF99"/>
      <rgbColor rgb="FF99CCFF"/>
      <rgbColor rgb="FFFF99CC"/>
      <rgbColor rgb="FFCC99FF"/>
      <rgbColor rgb="FFF6E3D8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C4D3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4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9"/>
    <col collapsed="false" customWidth="true" hidden="false" outlineLevel="0" max="3" min="3" style="1" width="14"/>
    <col collapsed="false" customWidth="true" hidden="false" outlineLevel="0" max="4" min="4" style="1" width="7"/>
    <col collapsed="false" customWidth="true" hidden="false" outlineLevel="0" max="5" min="5" style="1" width="9"/>
    <col collapsed="false" customWidth="true" hidden="false" outlineLevel="0" max="6" min="6" style="1" width="21"/>
    <col collapsed="false" customWidth="true" hidden="false" outlineLevel="0" max="7" min="7" style="1" width="18"/>
    <col collapsed="false" customWidth="true" hidden="false" outlineLevel="0" max="8" min="8" style="1" width="6"/>
    <col collapsed="false" customWidth="true" hidden="false" outlineLevel="0" max="9" min="9" style="1" width="19"/>
    <col collapsed="false" customWidth="true" hidden="false" outlineLevel="0" max="10" min="10" style="1" width="27"/>
    <col collapsed="false" customWidth="true" hidden="false" outlineLevel="0" max="12" min="11" style="1" width="12"/>
    <col collapsed="false" customWidth="true" hidden="false" outlineLevel="0" max="13" min="13" style="1" width="14"/>
    <col collapsed="false" customWidth="true" hidden="false" outlineLevel="0" max="14" min="14" style="1" width="12"/>
    <col collapsed="false" customWidth="true" hidden="false" outlineLevel="0" max="15" min="15" style="1" width="13"/>
    <col collapsed="false" customWidth="true" hidden="false" outlineLevel="0" max="16" min="16" style="1" width="11"/>
    <col collapsed="false" customWidth="true" hidden="false" outlineLevel="0" max="17" min="17" style="1" width="32"/>
    <col collapsed="false" customWidth="true" hidden="false" outlineLevel="0" max="18" min="18" style="0" width="15"/>
    <col collapsed="false" customWidth="true" hidden="false" outlineLevel="0" max="19" min="19" style="0" width="17"/>
    <col collapsed="false" customWidth="true" hidden="false" outlineLevel="0" max="20" min="20" style="0" width="11"/>
  </cols>
  <sheetData>
    <row r="1" customFormat="false" ht="22.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</row>
    <row r="2" customFormat="false" ht="13.5" hidden="false" customHeight="true" outlineLevel="0" collapsed="false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</row>
    <row r="4" customFormat="false" ht="27.75" hidden="false" customHeight="true" outlineLevel="0" collapsed="false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  <c r="I4" s="4" t="s">
        <v>10</v>
      </c>
      <c r="J4" s="4" t="s">
        <v>11</v>
      </c>
      <c r="K4" s="4" t="s">
        <v>12</v>
      </c>
      <c r="L4" s="4" t="s">
        <v>13</v>
      </c>
      <c r="M4" s="4" t="s">
        <v>14</v>
      </c>
      <c r="N4" s="4" t="s">
        <v>15</v>
      </c>
      <c r="O4" s="4" t="s">
        <v>16</v>
      </c>
      <c r="P4" s="4" t="s">
        <v>17</v>
      </c>
      <c r="Q4" s="4" t="s">
        <v>18</v>
      </c>
      <c r="R4" s="5" t="s">
        <v>19</v>
      </c>
      <c r="S4" s="5" t="s">
        <v>20</v>
      </c>
      <c r="T4" s="5" t="s">
        <v>21</v>
      </c>
    </row>
    <row r="5" customFormat="false" ht="15" hidden="false" customHeight="true" outlineLevel="0" collapsed="false">
      <c r="A5" s="6" t="n">
        <v>1</v>
      </c>
      <c r="B5" s="7" t="str">
        <f aca="false">IF(C5="","미정",TEXT(C5,"yyyy-mm"))</f>
        <v>2026-07</v>
      </c>
      <c r="C5" s="8" t="n">
        <v>46204</v>
      </c>
      <c r="D5" s="9" t="s">
        <v>22</v>
      </c>
      <c r="E5" s="10" t="s">
        <v>23</v>
      </c>
      <c r="F5" s="11" t="s">
        <v>24</v>
      </c>
      <c r="G5" s="11" t="s">
        <v>25</v>
      </c>
      <c r="H5" s="9" t="n">
        <v>6</v>
      </c>
      <c r="I5" s="12" t="s">
        <v>26</v>
      </c>
      <c r="J5" s="12" t="s">
        <v>27</v>
      </c>
      <c r="K5" s="13" t="n">
        <v>100000</v>
      </c>
      <c r="L5" s="14" t="n">
        <f aca="false">IF(K5="","",ROUND(K5*0.1,0))</f>
        <v>10000</v>
      </c>
      <c r="M5" s="14" t="n">
        <f aca="false">IF(K5="","",K5+L5)</f>
        <v>110000</v>
      </c>
      <c r="N5" s="13" t="n">
        <v>0</v>
      </c>
      <c r="O5" s="14" t="n">
        <f aca="false">IF(M5="","",M5-N5)</f>
        <v>110000</v>
      </c>
      <c r="P5" s="15" t="s">
        <v>28</v>
      </c>
      <c r="Q5" s="12" t="s">
        <v>29</v>
      </c>
      <c r="R5" s="9"/>
      <c r="S5" s="9"/>
      <c r="T5" s="9"/>
    </row>
    <row r="6" customFormat="false" ht="15" hidden="false" customHeight="true" outlineLevel="0" collapsed="false">
      <c r="A6" s="6" t="n">
        <v>2</v>
      </c>
      <c r="B6" s="7" t="str">
        <f aca="false">IF(C6="","미정",TEXT(C6,"yyyy-mm"))</f>
        <v>2026-07</v>
      </c>
      <c r="C6" s="8" t="n">
        <v>46204</v>
      </c>
      <c r="D6" s="9" t="s">
        <v>30</v>
      </c>
      <c r="E6" s="10" t="s">
        <v>23</v>
      </c>
      <c r="F6" s="11" t="s">
        <v>31</v>
      </c>
      <c r="G6" s="11" t="s">
        <v>32</v>
      </c>
      <c r="H6" s="9" t="n">
        <v>5</v>
      </c>
      <c r="I6" s="12" t="s">
        <v>33</v>
      </c>
      <c r="J6" s="12" t="s">
        <v>27</v>
      </c>
      <c r="K6" s="13" t="n">
        <v>80000</v>
      </c>
      <c r="L6" s="14" t="n">
        <f aca="false">IF(K6="","",ROUND(K6*0.1,0))</f>
        <v>8000</v>
      </c>
      <c r="M6" s="14" t="n">
        <f aca="false">IF(K6="","",K6+L6)</f>
        <v>88000</v>
      </c>
      <c r="N6" s="13" t="n">
        <v>0</v>
      </c>
      <c r="O6" s="14" t="n">
        <f aca="false">IF(M6="","",M6-N6)</f>
        <v>88000</v>
      </c>
      <c r="P6" s="15" t="s">
        <v>28</v>
      </c>
      <c r="Q6" s="12" t="s">
        <v>34</v>
      </c>
      <c r="R6" s="9"/>
      <c r="S6" s="9"/>
      <c r="T6" s="9"/>
    </row>
    <row r="7" customFormat="false" ht="15" hidden="false" customHeight="true" outlineLevel="0" collapsed="false">
      <c r="A7" s="6" t="n">
        <v>3</v>
      </c>
      <c r="B7" s="7" t="str">
        <f aca="false">IF(C7="","미정",TEXT(C7,"yyyy-mm"))</f>
        <v>2026-07</v>
      </c>
      <c r="C7" s="8" t="n">
        <v>46214</v>
      </c>
      <c r="D7" s="9" t="s">
        <v>35</v>
      </c>
      <c r="E7" s="10" t="s">
        <v>23</v>
      </c>
      <c r="F7" s="11" t="s">
        <v>36</v>
      </c>
      <c r="G7" s="11" t="s">
        <v>37</v>
      </c>
      <c r="H7" s="9" t="n">
        <v>4</v>
      </c>
      <c r="I7" s="12" t="s">
        <v>38</v>
      </c>
      <c r="J7" s="12" t="s">
        <v>39</v>
      </c>
      <c r="K7" s="13" t="n">
        <v>90000</v>
      </c>
      <c r="L7" s="14" t="n">
        <f aca="false">IF(K7="","",ROUND(K7*0.1,0))</f>
        <v>9000</v>
      </c>
      <c r="M7" s="14" t="n">
        <f aca="false">IF(K7="","",K7+L7)</f>
        <v>99000</v>
      </c>
      <c r="N7" s="13" t="n">
        <v>0</v>
      </c>
      <c r="O7" s="14" t="n">
        <f aca="false">IF(M7="","",M7-N7)</f>
        <v>99000</v>
      </c>
      <c r="P7" s="15" t="s">
        <v>28</v>
      </c>
      <c r="Q7" s="12" t="s">
        <v>40</v>
      </c>
      <c r="R7" s="9"/>
      <c r="S7" s="9"/>
      <c r="T7" s="9"/>
    </row>
    <row r="8" customFormat="false" ht="15" hidden="false" customHeight="true" outlineLevel="0" collapsed="false">
      <c r="A8" s="6" t="n">
        <v>4</v>
      </c>
      <c r="B8" s="7" t="str">
        <f aca="false">IF(C8="","미정",TEXT(C8,"yyyy-mm"))</f>
        <v>2026-07</v>
      </c>
      <c r="C8" s="8" t="n">
        <v>46215</v>
      </c>
      <c r="D8" s="9" t="s">
        <v>41</v>
      </c>
      <c r="E8" s="10" t="s">
        <v>23</v>
      </c>
      <c r="F8" s="11" t="s">
        <v>42</v>
      </c>
      <c r="G8" s="11" t="s">
        <v>43</v>
      </c>
      <c r="H8" s="9" t="n">
        <v>4</v>
      </c>
      <c r="I8" s="12" t="s">
        <v>26</v>
      </c>
      <c r="J8" s="12" t="s">
        <v>27</v>
      </c>
      <c r="K8" s="13" t="n">
        <v>90000</v>
      </c>
      <c r="L8" s="14" t="n">
        <f aca="false">IF(K8="","",ROUND(K8*0.1,0))</f>
        <v>9000</v>
      </c>
      <c r="M8" s="14" t="n">
        <f aca="false">IF(K8="","",K8+L8)</f>
        <v>99000</v>
      </c>
      <c r="N8" s="13" t="n">
        <v>0</v>
      </c>
      <c r="O8" s="14" t="n">
        <f aca="false">IF(M8="","",M8-N8)</f>
        <v>99000</v>
      </c>
      <c r="P8" s="15" t="s">
        <v>28</v>
      </c>
      <c r="Q8" s="11"/>
      <c r="R8" s="9"/>
      <c r="S8" s="9"/>
      <c r="T8" s="9"/>
    </row>
    <row r="9" customFormat="false" ht="15" hidden="false" customHeight="true" outlineLevel="0" collapsed="false">
      <c r="A9" s="6" t="n">
        <v>5</v>
      </c>
      <c r="B9" s="7" t="str">
        <f aca="false">IF(C9="","미정",TEXT(C9,"yyyy-mm"))</f>
        <v>2026-07</v>
      </c>
      <c r="C9" s="8" t="n">
        <v>46224</v>
      </c>
      <c r="D9" s="9" t="s">
        <v>44</v>
      </c>
      <c r="E9" s="10" t="s">
        <v>23</v>
      </c>
      <c r="F9" s="11" t="s">
        <v>45</v>
      </c>
      <c r="G9" s="11" t="s">
        <v>46</v>
      </c>
      <c r="H9" s="9" t="n">
        <v>4</v>
      </c>
      <c r="I9" s="12" t="s">
        <v>26</v>
      </c>
      <c r="J9" s="12" t="s">
        <v>27</v>
      </c>
      <c r="K9" s="13" t="n">
        <v>90000</v>
      </c>
      <c r="L9" s="14" t="n">
        <f aca="false">IF(K9="","",ROUND(K9*0.1,0))</f>
        <v>9000</v>
      </c>
      <c r="M9" s="14" t="n">
        <f aca="false">IF(K9="","",K9+L9)</f>
        <v>99000</v>
      </c>
      <c r="N9" s="13" t="n">
        <v>0</v>
      </c>
      <c r="O9" s="14" t="n">
        <f aca="false">IF(M9="","",M9-N9)</f>
        <v>99000</v>
      </c>
      <c r="P9" s="15" t="s">
        <v>28</v>
      </c>
      <c r="Q9" s="12" t="s">
        <v>47</v>
      </c>
      <c r="R9" s="9"/>
      <c r="S9" s="9"/>
      <c r="T9" s="9"/>
    </row>
    <row r="10" customFormat="false" ht="15" hidden="false" customHeight="true" outlineLevel="0" collapsed="false">
      <c r="A10" s="6" t="n">
        <v>6</v>
      </c>
      <c r="B10" s="7" t="str">
        <f aca="false">IF(C10="","미정",TEXT(C10,"yyyy-mm"))</f>
        <v>2026-07</v>
      </c>
      <c r="C10" s="8" t="n">
        <v>46228</v>
      </c>
      <c r="D10" s="9" t="s">
        <v>48</v>
      </c>
      <c r="E10" s="10" t="s">
        <v>23</v>
      </c>
      <c r="F10" s="11" t="s">
        <v>49</v>
      </c>
      <c r="G10" s="11" t="s">
        <v>50</v>
      </c>
      <c r="H10" s="9" t="n">
        <v>3</v>
      </c>
      <c r="I10" s="12" t="s">
        <v>38</v>
      </c>
      <c r="J10" s="12" t="s">
        <v>39</v>
      </c>
      <c r="K10" s="13" t="n">
        <v>85000</v>
      </c>
      <c r="L10" s="14" t="n">
        <f aca="false">IF(K10="","",ROUND(K10*0.1,0))</f>
        <v>8500</v>
      </c>
      <c r="M10" s="14" t="n">
        <f aca="false">IF(K10="","",K10+L10)</f>
        <v>93500</v>
      </c>
      <c r="N10" s="13" t="n">
        <v>0</v>
      </c>
      <c r="O10" s="14" t="n">
        <f aca="false">IF(M10="","",M10-N10)</f>
        <v>93500</v>
      </c>
      <c r="P10" s="15" t="s">
        <v>28</v>
      </c>
      <c r="Q10" s="12" t="s">
        <v>51</v>
      </c>
      <c r="R10" s="9"/>
      <c r="S10" s="9"/>
      <c r="T10" s="9"/>
    </row>
    <row r="11" customFormat="false" ht="15" hidden="false" customHeight="true" outlineLevel="0" collapsed="false">
      <c r="A11" s="6" t="n">
        <v>7</v>
      </c>
      <c r="B11" s="7" t="str">
        <f aca="false">IF(C11="","미정",TEXT(C11,"yyyy-mm"))</f>
        <v>2026-07</v>
      </c>
      <c r="C11" s="8" t="n">
        <v>46231</v>
      </c>
      <c r="D11" s="9" t="s">
        <v>52</v>
      </c>
      <c r="E11" s="16" t="s">
        <v>53</v>
      </c>
      <c r="F11" s="11" t="s">
        <v>54</v>
      </c>
      <c r="G11" s="11"/>
      <c r="H11" s="9" t="n">
        <v>4</v>
      </c>
      <c r="I11" s="12" t="s">
        <v>55</v>
      </c>
      <c r="J11" s="12" t="s">
        <v>56</v>
      </c>
      <c r="K11" s="13" t="n">
        <v>80000</v>
      </c>
      <c r="L11" s="14" t="n">
        <f aca="false">IF(K11="","",ROUND(K11*0.1,0))</f>
        <v>8000</v>
      </c>
      <c r="M11" s="14" t="n">
        <f aca="false">IF(K11="","",K11+L11)</f>
        <v>88000</v>
      </c>
      <c r="N11" s="13" t="n">
        <v>0</v>
      </c>
      <c r="O11" s="14" t="n">
        <f aca="false">IF(M11="","",M11-N11)</f>
        <v>88000</v>
      </c>
      <c r="P11" s="17" t="s">
        <v>57</v>
      </c>
      <c r="Q11" s="12" t="s">
        <v>58</v>
      </c>
      <c r="R11" s="9"/>
      <c r="S11" s="9"/>
      <c r="T11" s="9"/>
    </row>
    <row r="12" customFormat="false" ht="15" hidden="false" customHeight="true" outlineLevel="0" collapsed="false">
      <c r="A12" s="6" t="n">
        <v>8</v>
      </c>
      <c r="B12" s="7" t="str">
        <f aca="false">IF(C12="","미정",TEXT(C12,"yyyy-mm"))</f>
        <v>2026-07</v>
      </c>
      <c r="C12" s="8" t="n">
        <v>46233</v>
      </c>
      <c r="D12" s="9" t="s">
        <v>59</v>
      </c>
      <c r="E12" s="10" t="s">
        <v>23</v>
      </c>
      <c r="F12" s="11" t="s">
        <v>60</v>
      </c>
      <c r="G12" s="11" t="s">
        <v>61</v>
      </c>
      <c r="H12" s="9" t="n">
        <v>7</v>
      </c>
      <c r="I12" s="12" t="s">
        <v>26</v>
      </c>
      <c r="J12" s="12" t="s">
        <v>62</v>
      </c>
      <c r="K12" s="13" t="n">
        <v>100000</v>
      </c>
      <c r="L12" s="14" t="n">
        <f aca="false">IF(K12="","",ROUND(K12*0.1,0))</f>
        <v>10000</v>
      </c>
      <c r="M12" s="14" t="n">
        <f aca="false">IF(K12="","",K12+L12)</f>
        <v>110000</v>
      </c>
      <c r="N12" s="13" t="n">
        <v>0</v>
      </c>
      <c r="O12" s="14" t="n">
        <f aca="false">IF(M12="","",M12-N12)</f>
        <v>110000</v>
      </c>
      <c r="P12" s="17" t="s">
        <v>57</v>
      </c>
      <c r="Q12" s="11" t="s">
        <v>63</v>
      </c>
      <c r="R12" s="9"/>
      <c r="S12" s="9"/>
      <c r="T12" s="9"/>
    </row>
    <row r="13" customFormat="false" ht="15" hidden="false" customHeight="true" outlineLevel="0" collapsed="false">
      <c r="A13" s="6" t="n">
        <v>9</v>
      </c>
      <c r="B13" s="7" t="str">
        <f aca="false">IF(C13="","미정",TEXT(C13,"yyyy-mm"))</f>
        <v>2026-07</v>
      </c>
      <c r="C13" s="8" t="n">
        <v>46233</v>
      </c>
      <c r="D13" s="9" t="s">
        <v>64</v>
      </c>
      <c r="E13" s="10" t="s">
        <v>23</v>
      </c>
      <c r="F13" s="11" t="s">
        <v>65</v>
      </c>
      <c r="G13" s="11" t="s">
        <v>66</v>
      </c>
      <c r="H13" s="9" t="n">
        <v>5</v>
      </c>
      <c r="I13" s="12" t="s">
        <v>26</v>
      </c>
      <c r="J13" s="12" t="s">
        <v>67</v>
      </c>
      <c r="K13" s="13" t="n">
        <v>100000</v>
      </c>
      <c r="L13" s="14" t="n">
        <f aca="false">IF(K13="","",ROUND(K13*0.1,0))</f>
        <v>10000</v>
      </c>
      <c r="M13" s="14" t="n">
        <f aca="false">IF(K13="","",K13+L13)</f>
        <v>110000</v>
      </c>
      <c r="N13" s="13" t="n">
        <v>0</v>
      </c>
      <c r="O13" s="14" t="n">
        <f aca="false">IF(M13="","",M13-N13)</f>
        <v>110000</v>
      </c>
      <c r="P13" s="17" t="s">
        <v>57</v>
      </c>
      <c r="Q13" s="12" t="s">
        <v>68</v>
      </c>
      <c r="R13" s="9"/>
      <c r="S13" s="9"/>
      <c r="T13" s="9"/>
    </row>
    <row r="14" customFormat="false" ht="15" hidden="false" customHeight="true" outlineLevel="0" collapsed="false">
      <c r="A14" s="6" t="n">
        <v>10</v>
      </c>
      <c r="B14" s="7" t="str">
        <f aca="false">IF(C14="","미정",TEXT(C14,"yyyy-mm"))</f>
        <v>2026-07</v>
      </c>
      <c r="C14" s="8" t="n">
        <v>46234</v>
      </c>
      <c r="D14" s="9"/>
      <c r="E14" s="10" t="s">
        <v>23</v>
      </c>
      <c r="F14" s="11" t="s">
        <v>69</v>
      </c>
      <c r="G14" s="11" t="s">
        <v>70</v>
      </c>
      <c r="H14" s="9" t="n">
        <v>5</v>
      </c>
      <c r="I14" s="12" t="s">
        <v>26</v>
      </c>
      <c r="J14" s="12" t="s">
        <v>71</v>
      </c>
      <c r="K14" s="13" t="n">
        <v>100000</v>
      </c>
      <c r="L14" s="14" t="n">
        <f aca="false">IF(K14="","",ROUND(K14*0.1,0))</f>
        <v>10000</v>
      </c>
      <c r="M14" s="14" t="n">
        <f aca="false">IF(K14="","",K14+L14)</f>
        <v>110000</v>
      </c>
      <c r="N14" s="13" t="n">
        <v>0</v>
      </c>
      <c r="O14" s="14" t="n">
        <f aca="false">IF(M14="","",M14-N14)</f>
        <v>110000</v>
      </c>
      <c r="P14" s="17" t="s">
        <v>57</v>
      </c>
      <c r="Q14" s="18" t="s">
        <v>72</v>
      </c>
      <c r="R14" s="9"/>
      <c r="S14" s="9"/>
      <c r="T14" s="9"/>
    </row>
    <row r="15" customFormat="false" ht="15" hidden="false" customHeight="true" outlineLevel="0" collapsed="false">
      <c r="A15" s="6" t="n">
        <v>11</v>
      </c>
      <c r="B15" s="7" t="str">
        <f aca="false">IF(C15="","미정",TEXT(C15,"yyyy-mm"))</f>
        <v>2026-07</v>
      </c>
      <c r="C15" s="8" t="n">
        <v>46234</v>
      </c>
      <c r="D15" s="9" t="s">
        <v>73</v>
      </c>
      <c r="E15" s="10" t="s">
        <v>23</v>
      </c>
      <c r="F15" s="11" t="s">
        <v>74</v>
      </c>
      <c r="G15" s="11" t="s">
        <v>75</v>
      </c>
      <c r="H15" s="9" t="n">
        <v>7</v>
      </c>
      <c r="I15" s="12" t="s">
        <v>26</v>
      </c>
      <c r="J15" s="12" t="s">
        <v>76</v>
      </c>
      <c r="K15" s="13" t="n">
        <v>100000</v>
      </c>
      <c r="L15" s="14" t="n">
        <f aca="false">IF(K15="","",ROUND(K15*0.1,0))</f>
        <v>10000</v>
      </c>
      <c r="M15" s="14" t="n">
        <f aca="false">IF(K15="","",K15+L15)</f>
        <v>110000</v>
      </c>
      <c r="N15" s="13" t="n">
        <v>0</v>
      </c>
      <c r="O15" s="14" t="n">
        <f aca="false">IF(M15="","",M15-N15)</f>
        <v>110000</v>
      </c>
      <c r="P15" s="17" t="s">
        <v>57</v>
      </c>
      <c r="Q15" s="12" t="s">
        <v>77</v>
      </c>
      <c r="R15" s="9"/>
      <c r="S15" s="9"/>
      <c r="T15" s="9"/>
    </row>
    <row r="16" customFormat="false" ht="15" hidden="false" customHeight="true" outlineLevel="0" collapsed="false">
      <c r="A16" s="6" t="n">
        <v>12</v>
      </c>
      <c r="B16" s="7" t="str">
        <f aca="false">IF(C16="","미정",TEXT(C16,"yyyy-mm"))</f>
        <v>2026-08</v>
      </c>
      <c r="C16" s="8" t="n">
        <v>46237</v>
      </c>
      <c r="D16" s="9" t="s">
        <v>78</v>
      </c>
      <c r="E16" s="16" t="s">
        <v>53</v>
      </c>
      <c r="F16" s="11" t="s">
        <v>79</v>
      </c>
      <c r="G16" s="11"/>
      <c r="H16" s="9" t="n">
        <v>4</v>
      </c>
      <c r="I16" s="12" t="s">
        <v>80</v>
      </c>
      <c r="J16" s="12" t="s">
        <v>81</v>
      </c>
      <c r="K16" s="13" t="n">
        <v>80000</v>
      </c>
      <c r="L16" s="14" t="n">
        <f aca="false">IF(K16="","",ROUND(K16*0.1,0))</f>
        <v>8000</v>
      </c>
      <c r="M16" s="14" t="n">
        <f aca="false">IF(K16="","",K16+L16)</f>
        <v>88000</v>
      </c>
      <c r="N16" s="13" t="n">
        <v>0</v>
      </c>
      <c r="O16" s="14" t="n">
        <f aca="false">IF(M16="","",M16-N16)</f>
        <v>88000</v>
      </c>
      <c r="P16" s="17" t="s">
        <v>57</v>
      </c>
      <c r="Q16" s="18" t="s">
        <v>82</v>
      </c>
      <c r="R16" s="9"/>
      <c r="S16" s="9"/>
      <c r="T16" s="9"/>
    </row>
    <row r="17" customFormat="false" ht="15" hidden="false" customHeight="true" outlineLevel="0" collapsed="false">
      <c r="A17" s="6" t="n">
        <v>13</v>
      </c>
      <c r="B17" s="7" t="str">
        <f aca="false">IF(C17="","미정",TEXT(C17,"yyyy-mm"))</f>
        <v>2026-08</v>
      </c>
      <c r="C17" s="8" t="n">
        <v>46241</v>
      </c>
      <c r="D17" s="9" t="s">
        <v>83</v>
      </c>
      <c r="E17" s="10" t="s">
        <v>23</v>
      </c>
      <c r="F17" s="11" t="s">
        <v>84</v>
      </c>
      <c r="G17" s="11" t="s">
        <v>85</v>
      </c>
      <c r="H17" s="9" t="n">
        <v>5</v>
      </c>
      <c r="I17" s="12" t="s">
        <v>26</v>
      </c>
      <c r="J17" s="12" t="s">
        <v>62</v>
      </c>
      <c r="K17" s="13" t="n">
        <v>100000</v>
      </c>
      <c r="L17" s="14" t="n">
        <f aca="false">IF(K17="","",ROUND(K17*0.1,0))</f>
        <v>10000</v>
      </c>
      <c r="M17" s="14" t="n">
        <f aca="false">IF(K17="","",K17+L17)</f>
        <v>110000</v>
      </c>
      <c r="N17" s="13" t="n">
        <v>0</v>
      </c>
      <c r="O17" s="14" t="n">
        <f aca="false">IF(M17="","",M17-N17)</f>
        <v>110000</v>
      </c>
      <c r="P17" s="19" t="s">
        <v>86</v>
      </c>
      <c r="Q17" s="18" t="s">
        <v>87</v>
      </c>
      <c r="R17" s="9"/>
      <c r="S17" s="9"/>
      <c r="T17" s="9"/>
    </row>
    <row r="18" customFormat="false" ht="15" hidden="false" customHeight="true" outlineLevel="0" collapsed="false">
      <c r="A18" s="6" t="n">
        <v>14</v>
      </c>
      <c r="B18" s="7" t="str">
        <f aca="false">IF(C18="","미정",TEXT(C18,"yyyy-mm"))</f>
        <v>2026-08</v>
      </c>
      <c r="C18" s="8" t="n">
        <v>46244</v>
      </c>
      <c r="D18" s="9" t="s">
        <v>88</v>
      </c>
      <c r="E18" s="10" t="s">
        <v>23</v>
      </c>
      <c r="F18" s="11" t="s">
        <v>89</v>
      </c>
      <c r="G18" s="11" t="s">
        <v>90</v>
      </c>
      <c r="H18" s="9" t="n">
        <v>3</v>
      </c>
      <c r="I18" s="12" t="s">
        <v>38</v>
      </c>
      <c r="J18" s="12" t="s">
        <v>39</v>
      </c>
      <c r="K18" s="13" t="n">
        <v>85000</v>
      </c>
      <c r="L18" s="14" t="n">
        <f aca="false">IF(K18="","",ROUND(K18*0.1,0))</f>
        <v>8500</v>
      </c>
      <c r="M18" s="14" t="n">
        <f aca="false">IF(K18="","",K18+L18)</f>
        <v>93500</v>
      </c>
      <c r="N18" s="13" t="n">
        <v>0</v>
      </c>
      <c r="O18" s="14" t="n">
        <f aca="false">IF(M18="","",M18-N18)</f>
        <v>93500</v>
      </c>
      <c r="P18" s="19" t="s">
        <v>86</v>
      </c>
      <c r="Q18" s="18" t="s">
        <v>91</v>
      </c>
      <c r="R18" s="9"/>
      <c r="S18" s="9"/>
      <c r="T18" s="9"/>
    </row>
    <row r="19" customFormat="false" ht="15" hidden="false" customHeight="true" outlineLevel="0" collapsed="false">
      <c r="A19" s="6" t="n">
        <v>15</v>
      </c>
      <c r="B19" s="7" t="str">
        <f aca="false">IF(C19="","미정",TEXT(C19,"yyyy-mm"))</f>
        <v>2026-08</v>
      </c>
      <c r="C19" s="8" t="n">
        <v>46247</v>
      </c>
      <c r="D19" s="9" t="s">
        <v>92</v>
      </c>
      <c r="E19" s="10" t="s">
        <v>23</v>
      </c>
      <c r="F19" s="11" t="s">
        <v>93</v>
      </c>
      <c r="G19" s="11" t="s">
        <v>94</v>
      </c>
      <c r="H19" s="9" t="n">
        <v>4</v>
      </c>
      <c r="I19" s="12" t="s">
        <v>26</v>
      </c>
      <c r="J19" s="12" t="s">
        <v>62</v>
      </c>
      <c r="K19" s="13" t="n">
        <v>90000</v>
      </c>
      <c r="L19" s="14" t="n">
        <f aca="false">IF(K19="","",ROUND(K19*0.1,0))</f>
        <v>9000</v>
      </c>
      <c r="M19" s="14" t="n">
        <f aca="false">IF(K19="","",K19+L19)</f>
        <v>99000</v>
      </c>
      <c r="N19" s="13" t="n">
        <v>0</v>
      </c>
      <c r="O19" s="14" t="n">
        <f aca="false">IF(M19="","",M19-N19)</f>
        <v>99000</v>
      </c>
      <c r="P19" s="15" t="s">
        <v>28</v>
      </c>
      <c r="Q19" s="12" t="s">
        <v>95</v>
      </c>
      <c r="R19" s="9"/>
      <c r="S19" s="9"/>
      <c r="T19" s="9"/>
    </row>
    <row r="20" customFormat="false" ht="15" hidden="false" customHeight="true" outlineLevel="0" collapsed="false">
      <c r="A20" s="6" t="n">
        <v>16</v>
      </c>
      <c r="B20" s="7" t="str">
        <f aca="false">IF(C20="","미정",TEXT(C20,"yyyy-mm"))</f>
        <v>2026-08</v>
      </c>
      <c r="C20" s="8" t="n">
        <v>46249</v>
      </c>
      <c r="D20" s="9" t="s">
        <v>96</v>
      </c>
      <c r="E20" s="10" t="s">
        <v>23</v>
      </c>
      <c r="F20" s="11" t="s">
        <v>97</v>
      </c>
      <c r="G20" s="11" t="s">
        <v>98</v>
      </c>
      <c r="H20" s="9" t="n">
        <v>5</v>
      </c>
      <c r="I20" s="12" t="s">
        <v>26</v>
      </c>
      <c r="J20" s="12" t="s">
        <v>27</v>
      </c>
      <c r="K20" s="13" t="n">
        <v>100000</v>
      </c>
      <c r="L20" s="14" t="n">
        <f aca="false">IF(K20="","",ROUND(K20*0.1,0))</f>
        <v>10000</v>
      </c>
      <c r="M20" s="14" t="n">
        <f aca="false">IF(K20="","",K20+L20)</f>
        <v>110000</v>
      </c>
      <c r="N20" s="13" t="n">
        <v>0</v>
      </c>
      <c r="O20" s="14" t="n">
        <f aca="false">IF(M20="","",M20-N20)</f>
        <v>110000</v>
      </c>
      <c r="P20" s="15" t="s">
        <v>28</v>
      </c>
      <c r="Q20" s="20" t="s">
        <v>99</v>
      </c>
      <c r="R20" s="9"/>
      <c r="S20" s="9"/>
      <c r="T20" s="9"/>
    </row>
    <row r="21" customFormat="false" ht="15" hidden="false" customHeight="true" outlineLevel="0" collapsed="false">
      <c r="A21" s="6" t="n">
        <v>17</v>
      </c>
      <c r="B21" s="7" t="str">
        <f aca="false">IF(C21="","미정",TEXT(C21,"yyyy-mm"))</f>
        <v>2026-08</v>
      </c>
      <c r="C21" s="8" t="n">
        <v>46259</v>
      </c>
      <c r="D21" s="9" t="s">
        <v>100</v>
      </c>
      <c r="E21" s="10" t="s">
        <v>23</v>
      </c>
      <c r="F21" s="11" t="s">
        <v>101</v>
      </c>
      <c r="G21" s="11" t="s">
        <v>102</v>
      </c>
      <c r="H21" s="9" t="n">
        <v>6</v>
      </c>
      <c r="I21" s="12" t="s">
        <v>26</v>
      </c>
      <c r="J21" s="12" t="s">
        <v>76</v>
      </c>
      <c r="K21" s="13" t="n">
        <v>100000</v>
      </c>
      <c r="L21" s="14" t="n">
        <f aca="false">IF(K21="","",ROUND(K21*0.1,0))</f>
        <v>10000</v>
      </c>
      <c r="M21" s="14" t="n">
        <f aca="false">IF(K21="","",K21+L21)</f>
        <v>110000</v>
      </c>
      <c r="N21" s="13" t="n">
        <v>70000</v>
      </c>
      <c r="O21" s="14" t="n">
        <f aca="false">IF(M21="","",M21-N21)</f>
        <v>40000</v>
      </c>
      <c r="P21" s="19" t="s">
        <v>86</v>
      </c>
      <c r="Q21" s="12" t="s">
        <v>103</v>
      </c>
      <c r="R21" s="9"/>
      <c r="S21" s="9"/>
      <c r="T21" s="9"/>
    </row>
    <row r="22" customFormat="false" ht="15" hidden="false" customHeight="true" outlineLevel="0" collapsed="false">
      <c r="A22" s="6" t="n">
        <v>18</v>
      </c>
      <c r="B22" s="7" t="str">
        <f aca="false">IF(C22="","",TEXT(C22,"yyyy-mm"))</f>
        <v>2026-08</v>
      </c>
      <c r="C22" s="8" t="n">
        <v>46238</v>
      </c>
      <c r="D22" s="9" t="s">
        <v>35</v>
      </c>
      <c r="E22" s="16" t="s">
        <v>53</v>
      </c>
      <c r="F22" s="21" t="s">
        <v>104</v>
      </c>
      <c r="G22" s="21"/>
      <c r="H22" s="9" t="n">
        <v>7</v>
      </c>
      <c r="I22" s="22" t="s">
        <v>105</v>
      </c>
      <c r="J22" s="22" t="s">
        <v>106</v>
      </c>
      <c r="K22" s="13" t="n">
        <v>90000</v>
      </c>
      <c r="L22" s="14" t="n">
        <f aca="false">IF(K22="","",ROUND(K22*0.1,0))</f>
        <v>9000</v>
      </c>
      <c r="M22" s="14" t="n">
        <f aca="false">IF(K22="","",K22+L22)</f>
        <v>99000</v>
      </c>
      <c r="N22" s="13" t="n">
        <v>90000</v>
      </c>
      <c r="O22" s="14" t="n">
        <f aca="false">IF(M22="","",M22-N22)</f>
        <v>9000</v>
      </c>
      <c r="P22" s="19" t="s">
        <v>86</v>
      </c>
      <c r="Q22" s="23" t="s">
        <v>107</v>
      </c>
      <c r="R22" s="9"/>
      <c r="S22" s="9"/>
      <c r="T22" s="9"/>
    </row>
    <row r="23" customFormat="false" ht="15" hidden="false" customHeight="true" outlineLevel="0" collapsed="false">
      <c r="A23" s="6" t="n">
        <v>19</v>
      </c>
      <c r="B23" s="7" t="str">
        <f aca="false">IF(C23="","",TEXT(C23,"yyyy-mm"))</f>
        <v>2026-08</v>
      </c>
      <c r="C23" s="8" t="n">
        <v>46254</v>
      </c>
      <c r="D23" s="9" t="s">
        <v>108</v>
      </c>
      <c r="E23" s="10" t="s">
        <v>23</v>
      </c>
      <c r="F23" s="21" t="s">
        <v>109</v>
      </c>
      <c r="G23" s="21" t="s">
        <v>110</v>
      </c>
      <c r="H23" s="9" t="n">
        <v>3</v>
      </c>
      <c r="I23" s="22" t="s">
        <v>38</v>
      </c>
      <c r="J23" s="22" t="s">
        <v>111</v>
      </c>
      <c r="K23" s="13" t="n">
        <v>85000</v>
      </c>
      <c r="L23" s="14" t="n">
        <f aca="false">IF(K23="","",ROUND(K23*0.1,0))</f>
        <v>8500</v>
      </c>
      <c r="M23" s="14" t="n">
        <f aca="false">IF(K23="","",K23+L23)</f>
        <v>93500</v>
      </c>
      <c r="N23" s="13" t="n">
        <v>0</v>
      </c>
      <c r="O23" s="14" t="n">
        <f aca="false">IF(M23="","",M23-N23)</f>
        <v>93500</v>
      </c>
      <c r="P23" s="19" t="s">
        <v>86</v>
      </c>
      <c r="Q23" s="21"/>
      <c r="R23" s="24" t="s">
        <v>112</v>
      </c>
      <c r="S23" s="9" t="s">
        <v>113</v>
      </c>
      <c r="T23" s="25" t="s">
        <v>114</v>
      </c>
    </row>
    <row r="24" customFormat="false" ht="15" hidden="false" customHeight="true" outlineLevel="0" collapsed="false">
      <c r="A24" s="6" t="n">
        <v>20</v>
      </c>
      <c r="B24" s="7" t="str">
        <f aca="false">IF(C24="","",TEXT(C24,"yyyy-mm"))</f>
        <v/>
      </c>
      <c r="C24" s="8"/>
      <c r="D24" s="9"/>
      <c r="E24" s="9"/>
      <c r="F24" s="11"/>
      <c r="G24" s="11"/>
      <c r="H24" s="9"/>
      <c r="I24" s="11"/>
      <c r="J24" s="11"/>
      <c r="K24" s="13"/>
      <c r="L24" s="14" t="str">
        <f aca="false">IF(K24="","",ROUND(K24*0.1,0))</f>
        <v/>
      </c>
      <c r="M24" s="14" t="str">
        <f aca="false">IF(K24="","",K24+L24)</f>
        <v/>
      </c>
      <c r="N24" s="13"/>
      <c r="O24" s="14" t="str">
        <f aca="false">IF(M24="","",M24-N24)</f>
        <v/>
      </c>
      <c r="P24" s="9"/>
      <c r="Q24" s="11"/>
      <c r="R24" s="9"/>
      <c r="S24" s="9"/>
      <c r="T24" s="9"/>
    </row>
    <row r="25" customFormat="false" ht="15" hidden="false" customHeight="true" outlineLevel="0" collapsed="false">
      <c r="A25" s="6" t="n">
        <v>21</v>
      </c>
      <c r="B25" s="7" t="str">
        <f aca="false">IF(C25="","",TEXT(C25,"yyyy-mm"))</f>
        <v/>
      </c>
      <c r="C25" s="8"/>
      <c r="D25" s="9"/>
      <c r="E25" s="9"/>
      <c r="F25" s="11"/>
      <c r="G25" s="11"/>
      <c r="H25" s="9"/>
      <c r="I25" s="11"/>
      <c r="J25" s="11"/>
      <c r="K25" s="13"/>
      <c r="L25" s="14" t="str">
        <f aca="false">IF(K25="","",ROUND(K25*0.1,0))</f>
        <v/>
      </c>
      <c r="M25" s="14" t="str">
        <f aca="false">IF(K25="","",K25+L25)</f>
        <v/>
      </c>
      <c r="N25" s="13"/>
      <c r="O25" s="14" t="str">
        <f aca="false">IF(M25="","",M25-N25)</f>
        <v/>
      </c>
      <c r="P25" s="9"/>
      <c r="Q25" s="11"/>
      <c r="R25" s="9"/>
      <c r="S25" s="9"/>
      <c r="T25" s="9"/>
    </row>
    <row r="26" customFormat="false" ht="15" hidden="false" customHeight="true" outlineLevel="0" collapsed="false">
      <c r="A26" s="6" t="n">
        <v>22</v>
      </c>
      <c r="B26" s="7" t="str">
        <f aca="false">IF(C26="","",TEXT(C26,"yyyy-mm"))</f>
        <v/>
      </c>
      <c r="C26" s="8"/>
      <c r="D26" s="9"/>
      <c r="E26" s="9"/>
      <c r="F26" s="11"/>
      <c r="G26" s="11"/>
      <c r="H26" s="9"/>
      <c r="I26" s="11"/>
      <c r="J26" s="11"/>
      <c r="K26" s="13"/>
      <c r="L26" s="14" t="str">
        <f aca="false">IF(K26="","",ROUND(K26*0.1,0))</f>
        <v/>
      </c>
      <c r="M26" s="14" t="str">
        <f aca="false">IF(K26="","",K26+L26)</f>
        <v/>
      </c>
      <c r="N26" s="13"/>
      <c r="O26" s="14" t="str">
        <f aca="false">IF(M26="","",M26-N26)</f>
        <v/>
      </c>
      <c r="P26" s="9"/>
      <c r="Q26" s="11"/>
      <c r="R26" s="9"/>
      <c r="S26" s="9"/>
      <c r="T26" s="9"/>
    </row>
    <row r="27" customFormat="false" ht="15" hidden="false" customHeight="true" outlineLevel="0" collapsed="false">
      <c r="A27" s="6" t="n">
        <v>23</v>
      </c>
      <c r="B27" s="7" t="str">
        <f aca="false">IF(C27="","",TEXT(C27,"yyyy-mm"))</f>
        <v/>
      </c>
      <c r="C27" s="8"/>
      <c r="D27" s="9"/>
      <c r="E27" s="9"/>
      <c r="F27" s="11"/>
      <c r="G27" s="11"/>
      <c r="H27" s="9"/>
      <c r="I27" s="11"/>
      <c r="J27" s="11"/>
      <c r="K27" s="13"/>
      <c r="L27" s="14" t="str">
        <f aca="false">IF(K27="","",ROUND(K27*0.1,0))</f>
        <v/>
      </c>
      <c r="M27" s="14" t="str">
        <f aca="false">IF(K27="","",K27+L27)</f>
        <v/>
      </c>
      <c r="N27" s="13"/>
      <c r="O27" s="14" t="str">
        <f aca="false">IF(M27="","",M27-N27)</f>
        <v/>
      </c>
      <c r="P27" s="9"/>
      <c r="Q27" s="11"/>
      <c r="R27" s="9"/>
      <c r="S27" s="9"/>
      <c r="T27" s="9"/>
    </row>
    <row r="28" customFormat="false" ht="15" hidden="false" customHeight="true" outlineLevel="0" collapsed="false">
      <c r="A28" s="6" t="n">
        <v>24</v>
      </c>
      <c r="B28" s="7" t="str">
        <f aca="false">IF(C28="","",TEXT(C28,"yyyy-mm"))</f>
        <v/>
      </c>
      <c r="C28" s="8"/>
      <c r="D28" s="9"/>
      <c r="E28" s="9"/>
      <c r="F28" s="11"/>
      <c r="G28" s="11"/>
      <c r="H28" s="9"/>
      <c r="I28" s="11"/>
      <c r="J28" s="11"/>
      <c r="K28" s="13"/>
      <c r="L28" s="14" t="str">
        <f aca="false">IF(K28="","",ROUND(K28*0.1,0))</f>
        <v/>
      </c>
      <c r="M28" s="14" t="str">
        <f aca="false">IF(K28="","",K28+L28)</f>
        <v/>
      </c>
      <c r="N28" s="13"/>
      <c r="O28" s="14" t="str">
        <f aca="false">IF(M28="","",M28-N28)</f>
        <v/>
      </c>
      <c r="P28" s="9"/>
      <c r="Q28" s="11"/>
      <c r="R28" s="9"/>
      <c r="S28" s="9"/>
      <c r="T28" s="9"/>
    </row>
    <row r="29" customFormat="false" ht="15" hidden="false" customHeight="true" outlineLevel="0" collapsed="false">
      <c r="A29" s="6" t="n">
        <v>25</v>
      </c>
      <c r="B29" s="7" t="str">
        <f aca="false">IF(C29="","",TEXT(C29,"yyyy-mm"))</f>
        <v/>
      </c>
      <c r="C29" s="8"/>
      <c r="D29" s="9"/>
      <c r="E29" s="9"/>
      <c r="F29" s="11"/>
      <c r="G29" s="11"/>
      <c r="H29" s="9"/>
      <c r="I29" s="11"/>
      <c r="J29" s="11"/>
      <c r="K29" s="13"/>
      <c r="L29" s="14" t="str">
        <f aca="false">IF(K29="","",ROUND(K29*0.1,0))</f>
        <v/>
      </c>
      <c r="M29" s="14" t="str">
        <f aca="false">IF(K29="","",K29+L29)</f>
        <v/>
      </c>
      <c r="N29" s="13"/>
      <c r="O29" s="14" t="str">
        <f aca="false">IF(M29="","",M29-N29)</f>
        <v/>
      </c>
      <c r="P29" s="9"/>
      <c r="Q29" s="11"/>
      <c r="R29" s="9"/>
      <c r="S29" s="9"/>
      <c r="T29" s="9"/>
    </row>
    <row r="30" customFormat="false" ht="15" hidden="false" customHeight="true" outlineLevel="0" collapsed="false">
      <c r="A30" s="6" t="n">
        <v>26</v>
      </c>
      <c r="B30" s="7" t="str">
        <f aca="false">IF(C30="","",TEXT(C30,"yyyy-mm"))</f>
        <v/>
      </c>
      <c r="C30" s="8"/>
      <c r="D30" s="9"/>
      <c r="E30" s="9"/>
      <c r="F30" s="11"/>
      <c r="G30" s="11"/>
      <c r="H30" s="9"/>
      <c r="I30" s="11"/>
      <c r="J30" s="11"/>
      <c r="K30" s="13"/>
      <c r="L30" s="14" t="str">
        <f aca="false">IF(K30="","",ROUND(K30*0.1,0))</f>
        <v/>
      </c>
      <c r="M30" s="14" t="str">
        <f aca="false">IF(K30="","",K30+L30)</f>
        <v/>
      </c>
      <c r="N30" s="13"/>
      <c r="O30" s="14" t="str">
        <f aca="false">IF(M30="","",M30-N30)</f>
        <v/>
      </c>
      <c r="P30" s="9"/>
      <c r="Q30" s="11"/>
      <c r="R30" s="9"/>
      <c r="S30" s="9"/>
      <c r="T30" s="9"/>
    </row>
    <row r="31" customFormat="false" ht="15" hidden="false" customHeight="true" outlineLevel="0" collapsed="false">
      <c r="A31" s="6" t="n">
        <v>27</v>
      </c>
      <c r="B31" s="7" t="str">
        <f aca="false">IF(C31="","",TEXT(C31,"yyyy-mm"))</f>
        <v/>
      </c>
      <c r="C31" s="8"/>
      <c r="D31" s="9"/>
      <c r="E31" s="9"/>
      <c r="F31" s="11"/>
      <c r="G31" s="11"/>
      <c r="H31" s="9"/>
      <c r="I31" s="11"/>
      <c r="J31" s="11"/>
      <c r="K31" s="13"/>
      <c r="L31" s="14" t="str">
        <f aca="false">IF(K31="","",ROUND(K31*0.1,0))</f>
        <v/>
      </c>
      <c r="M31" s="14" t="str">
        <f aca="false">IF(K31="","",K31+L31)</f>
        <v/>
      </c>
      <c r="N31" s="13"/>
      <c r="O31" s="14" t="str">
        <f aca="false">IF(M31="","",M31-N31)</f>
        <v/>
      </c>
      <c r="P31" s="9"/>
      <c r="Q31" s="11"/>
      <c r="R31" s="9"/>
      <c r="S31" s="9"/>
      <c r="T31" s="9"/>
    </row>
    <row r="32" customFormat="false" ht="15" hidden="false" customHeight="true" outlineLevel="0" collapsed="false">
      <c r="A32" s="6" t="n">
        <v>28</v>
      </c>
      <c r="B32" s="7" t="str">
        <f aca="false">IF(C32="","",TEXT(C32,"yyyy-mm"))</f>
        <v/>
      </c>
      <c r="C32" s="8"/>
      <c r="D32" s="9"/>
      <c r="E32" s="9"/>
      <c r="F32" s="11"/>
      <c r="G32" s="11"/>
      <c r="H32" s="9"/>
      <c r="I32" s="11"/>
      <c r="J32" s="11"/>
      <c r="K32" s="13"/>
      <c r="L32" s="14" t="str">
        <f aca="false">IF(K32="","",ROUND(K32*0.1,0))</f>
        <v/>
      </c>
      <c r="M32" s="14" t="str">
        <f aca="false">IF(K32="","",K32+L32)</f>
        <v/>
      </c>
      <c r="N32" s="13"/>
      <c r="O32" s="14" t="str">
        <f aca="false">IF(M32="","",M32-N32)</f>
        <v/>
      </c>
      <c r="P32" s="9"/>
      <c r="Q32" s="11"/>
      <c r="R32" s="9"/>
      <c r="S32" s="9"/>
      <c r="T32" s="9"/>
    </row>
    <row r="33" customFormat="false" ht="15" hidden="false" customHeight="true" outlineLevel="0" collapsed="false">
      <c r="A33" s="6" t="n">
        <v>29</v>
      </c>
      <c r="B33" s="7" t="str">
        <f aca="false">IF(C33="","",TEXT(C33,"yyyy-mm"))</f>
        <v/>
      </c>
      <c r="C33" s="8"/>
      <c r="D33" s="9"/>
      <c r="E33" s="9"/>
      <c r="F33" s="11"/>
      <c r="G33" s="11"/>
      <c r="H33" s="9"/>
      <c r="I33" s="11"/>
      <c r="J33" s="11"/>
      <c r="K33" s="13"/>
      <c r="L33" s="14" t="str">
        <f aca="false">IF(K33="","",ROUND(K33*0.1,0))</f>
        <v/>
      </c>
      <c r="M33" s="14" t="str">
        <f aca="false">IF(K33="","",K33+L33)</f>
        <v/>
      </c>
      <c r="N33" s="13"/>
      <c r="O33" s="14" t="str">
        <f aca="false">IF(M33="","",M33-N33)</f>
        <v/>
      </c>
      <c r="P33" s="9"/>
      <c r="Q33" s="11"/>
      <c r="R33" s="9"/>
      <c r="S33" s="9"/>
      <c r="T33" s="9"/>
    </row>
    <row r="34" customFormat="false" ht="15" hidden="false" customHeight="true" outlineLevel="0" collapsed="false">
      <c r="A34" s="6" t="n">
        <v>30</v>
      </c>
      <c r="B34" s="7" t="str">
        <f aca="false">IF(C34="","",TEXT(C34,"yyyy-mm"))</f>
        <v/>
      </c>
      <c r="C34" s="8"/>
      <c r="D34" s="9"/>
      <c r="E34" s="9"/>
      <c r="F34" s="11"/>
      <c r="G34" s="11"/>
      <c r="H34" s="9"/>
      <c r="I34" s="11"/>
      <c r="J34" s="11"/>
      <c r="K34" s="13"/>
      <c r="L34" s="14" t="str">
        <f aca="false">IF(K34="","",ROUND(K34*0.1,0))</f>
        <v/>
      </c>
      <c r="M34" s="14" t="str">
        <f aca="false">IF(K34="","",K34+L34)</f>
        <v/>
      </c>
      <c r="N34" s="13"/>
      <c r="O34" s="14" t="str">
        <f aca="false">IF(M34="","",M34-N34)</f>
        <v/>
      </c>
      <c r="P34" s="9"/>
      <c r="Q34" s="11"/>
      <c r="R34" s="9"/>
      <c r="S34" s="9"/>
      <c r="T34" s="9"/>
    </row>
    <row r="35" customFormat="false" ht="15" hidden="false" customHeight="true" outlineLevel="0" collapsed="false">
      <c r="A35" s="6" t="n">
        <v>31</v>
      </c>
      <c r="B35" s="7" t="str">
        <f aca="false">IF(C35="","",TEXT(C35,"yyyy-mm"))</f>
        <v/>
      </c>
      <c r="C35" s="8"/>
      <c r="D35" s="9"/>
      <c r="E35" s="9"/>
      <c r="F35" s="11"/>
      <c r="G35" s="11"/>
      <c r="H35" s="9"/>
      <c r="I35" s="11"/>
      <c r="J35" s="11"/>
      <c r="K35" s="13"/>
      <c r="L35" s="14" t="str">
        <f aca="false">IF(K35="","",ROUND(K35*0.1,0))</f>
        <v/>
      </c>
      <c r="M35" s="14" t="str">
        <f aca="false">IF(K35="","",K35+L35)</f>
        <v/>
      </c>
      <c r="N35" s="13"/>
      <c r="O35" s="14" t="str">
        <f aca="false">IF(M35="","",M35-N35)</f>
        <v/>
      </c>
      <c r="P35" s="9"/>
      <c r="Q35" s="11"/>
      <c r="R35" s="9"/>
      <c r="S35" s="9"/>
      <c r="T35" s="9"/>
    </row>
    <row r="36" customFormat="false" ht="15" hidden="false" customHeight="true" outlineLevel="0" collapsed="false">
      <c r="A36" s="6" t="n">
        <v>32</v>
      </c>
      <c r="B36" s="7" t="str">
        <f aca="false">IF(C36="","",TEXT(C36,"yyyy-mm"))</f>
        <v/>
      </c>
      <c r="C36" s="8"/>
      <c r="D36" s="9"/>
      <c r="E36" s="9"/>
      <c r="F36" s="11"/>
      <c r="G36" s="11"/>
      <c r="H36" s="9"/>
      <c r="I36" s="11"/>
      <c r="J36" s="11"/>
      <c r="K36" s="13"/>
      <c r="L36" s="14" t="str">
        <f aca="false">IF(K36="","",ROUND(K36*0.1,0))</f>
        <v/>
      </c>
      <c r="M36" s="14" t="str">
        <f aca="false">IF(K36="","",K36+L36)</f>
        <v/>
      </c>
      <c r="N36" s="13"/>
      <c r="O36" s="14" t="str">
        <f aca="false">IF(M36="","",M36-N36)</f>
        <v/>
      </c>
      <c r="P36" s="9"/>
      <c r="Q36" s="11"/>
      <c r="R36" s="9"/>
      <c r="S36" s="9"/>
      <c r="T36" s="9"/>
    </row>
    <row r="37" customFormat="false" ht="15" hidden="false" customHeight="true" outlineLevel="0" collapsed="false">
      <c r="A37" s="6" t="n">
        <v>33</v>
      </c>
      <c r="B37" s="7" t="str">
        <f aca="false">IF(C37="","",TEXT(C37,"yyyy-mm"))</f>
        <v/>
      </c>
      <c r="C37" s="8"/>
      <c r="D37" s="9"/>
      <c r="E37" s="9"/>
      <c r="F37" s="11"/>
      <c r="G37" s="11"/>
      <c r="H37" s="9"/>
      <c r="I37" s="11"/>
      <c r="J37" s="11"/>
      <c r="K37" s="13"/>
      <c r="L37" s="14" t="str">
        <f aca="false">IF(K37="","",ROUND(K37*0.1,0))</f>
        <v/>
      </c>
      <c r="M37" s="14" t="str">
        <f aca="false">IF(K37="","",K37+L37)</f>
        <v/>
      </c>
      <c r="N37" s="13"/>
      <c r="O37" s="14" t="str">
        <f aca="false">IF(M37="","",M37-N37)</f>
        <v/>
      </c>
      <c r="P37" s="9"/>
      <c r="Q37" s="11"/>
      <c r="R37" s="9"/>
      <c r="S37" s="9"/>
      <c r="T37" s="9"/>
    </row>
    <row r="38" customFormat="false" ht="15" hidden="false" customHeight="true" outlineLevel="0" collapsed="false">
      <c r="A38" s="6" t="n">
        <v>34</v>
      </c>
      <c r="B38" s="7" t="str">
        <f aca="false">IF(C38="","",TEXT(C38,"yyyy-mm"))</f>
        <v/>
      </c>
      <c r="C38" s="8"/>
      <c r="D38" s="9"/>
      <c r="E38" s="9"/>
      <c r="F38" s="11"/>
      <c r="G38" s="11"/>
      <c r="H38" s="9"/>
      <c r="I38" s="11"/>
      <c r="J38" s="11"/>
      <c r="K38" s="13"/>
      <c r="L38" s="14" t="str">
        <f aca="false">IF(K38="","",ROUND(K38*0.1,0))</f>
        <v/>
      </c>
      <c r="M38" s="14" t="str">
        <f aca="false">IF(K38="","",K38+L38)</f>
        <v/>
      </c>
      <c r="N38" s="13"/>
      <c r="O38" s="14" t="str">
        <f aca="false">IF(M38="","",M38-N38)</f>
        <v/>
      </c>
      <c r="P38" s="9"/>
      <c r="Q38" s="11"/>
      <c r="R38" s="9"/>
      <c r="S38" s="9"/>
      <c r="T38" s="9"/>
    </row>
    <row r="39" customFormat="false" ht="15" hidden="false" customHeight="true" outlineLevel="0" collapsed="false">
      <c r="A39" s="6" t="n">
        <v>35</v>
      </c>
      <c r="B39" s="7" t="str">
        <f aca="false">IF(C39="","",TEXT(C39,"yyyy-mm"))</f>
        <v/>
      </c>
      <c r="C39" s="8"/>
      <c r="D39" s="9"/>
      <c r="E39" s="9"/>
      <c r="F39" s="11"/>
      <c r="G39" s="11"/>
      <c r="H39" s="9"/>
      <c r="I39" s="11"/>
      <c r="J39" s="11"/>
      <c r="K39" s="13"/>
      <c r="L39" s="14" t="str">
        <f aca="false">IF(K39="","",ROUND(K39*0.1,0))</f>
        <v/>
      </c>
      <c r="M39" s="14" t="str">
        <f aca="false">IF(K39="","",K39+L39)</f>
        <v/>
      </c>
      <c r="N39" s="13"/>
      <c r="O39" s="14" t="str">
        <f aca="false">IF(M39="","",M39-N39)</f>
        <v/>
      </c>
      <c r="P39" s="9"/>
      <c r="Q39" s="11"/>
      <c r="R39" s="9"/>
      <c r="S39" s="9"/>
      <c r="T39" s="9"/>
    </row>
    <row r="40" customFormat="false" ht="15" hidden="false" customHeight="true" outlineLevel="0" collapsed="false">
      <c r="A40" s="6" t="n">
        <v>36</v>
      </c>
      <c r="B40" s="7" t="str">
        <f aca="false">IF(C40="","",TEXT(C40,"yyyy-mm"))</f>
        <v/>
      </c>
      <c r="C40" s="8"/>
      <c r="D40" s="9"/>
      <c r="E40" s="9"/>
      <c r="F40" s="11"/>
      <c r="G40" s="11"/>
      <c r="H40" s="9"/>
      <c r="I40" s="11"/>
      <c r="J40" s="11"/>
      <c r="K40" s="13"/>
      <c r="L40" s="14" t="str">
        <f aca="false">IF(K40="","",ROUND(K40*0.1,0))</f>
        <v/>
      </c>
      <c r="M40" s="14" t="str">
        <f aca="false">IF(K40="","",K40+L40)</f>
        <v/>
      </c>
      <c r="N40" s="13"/>
      <c r="O40" s="14" t="str">
        <f aca="false">IF(M40="","",M40-N40)</f>
        <v/>
      </c>
      <c r="P40" s="9"/>
      <c r="Q40" s="11"/>
      <c r="R40" s="9"/>
      <c r="S40" s="9"/>
      <c r="T40" s="9"/>
    </row>
    <row r="41" customFormat="false" ht="15" hidden="false" customHeight="true" outlineLevel="0" collapsed="false">
      <c r="A41" s="6" t="n">
        <v>37</v>
      </c>
      <c r="B41" s="7" t="str">
        <f aca="false">IF(C41="","",TEXT(C41,"yyyy-mm"))</f>
        <v/>
      </c>
      <c r="C41" s="8"/>
      <c r="D41" s="9"/>
      <c r="E41" s="9"/>
      <c r="F41" s="11"/>
      <c r="G41" s="11"/>
      <c r="H41" s="9"/>
      <c r="I41" s="11"/>
      <c r="J41" s="11"/>
      <c r="K41" s="13"/>
      <c r="L41" s="14" t="str">
        <f aca="false">IF(K41="","",ROUND(K41*0.1,0))</f>
        <v/>
      </c>
      <c r="M41" s="14" t="str">
        <f aca="false">IF(K41="","",K41+L41)</f>
        <v/>
      </c>
      <c r="N41" s="13"/>
      <c r="O41" s="14" t="str">
        <f aca="false">IF(M41="","",M41-N41)</f>
        <v/>
      </c>
      <c r="P41" s="9"/>
      <c r="Q41" s="11"/>
      <c r="R41" s="9"/>
      <c r="S41" s="9"/>
      <c r="T41" s="9"/>
    </row>
    <row r="42" customFormat="false" ht="16.5" hidden="false" customHeight="true" outlineLevel="0" collapsed="false">
      <c r="A42" s="26" t="s">
        <v>115</v>
      </c>
      <c r="B42" s="26"/>
      <c r="C42" s="26"/>
      <c r="D42" s="26"/>
      <c r="E42" s="26"/>
      <c r="F42" s="26"/>
      <c r="G42" s="26"/>
      <c r="H42" s="26"/>
      <c r="I42" s="26"/>
      <c r="J42" s="26"/>
      <c r="K42" s="27" t="n">
        <f aca="false">SUM(K5:K41)</f>
        <v>1745000</v>
      </c>
      <c r="L42" s="27" t="n">
        <f aca="false">SUM(L5:L41)</f>
        <v>174500</v>
      </c>
      <c r="M42" s="27" t="n">
        <f aca="false">SUM(M5:M41)</f>
        <v>1919500</v>
      </c>
      <c r="N42" s="27" t="n">
        <f aca="false">SUM(N5:N41)</f>
        <v>160000</v>
      </c>
      <c r="O42" s="27" t="n">
        <f aca="false">SUM(O5:O41)</f>
        <v>1759500</v>
      </c>
      <c r="P42" s="28"/>
      <c r="Q42" s="28"/>
    </row>
  </sheetData>
  <mergeCells count="3">
    <mergeCell ref="A1:Q1"/>
    <mergeCell ref="A2:Q2"/>
    <mergeCell ref="A42:J42"/>
  </mergeCells>
  <dataValidations count="3">
    <dataValidation allowBlank="true" errorStyle="stop" operator="between" showDropDown="false" showErrorMessage="false" showInputMessage="false" sqref="E5:E41" type="list">
      <formula1>"픽업,드랍오프"</formula1>
      <formula2>0</formula2>
    </dataValidation>
    <dataValidation allowBlank="true" errorStyle="stop" operator="between" showDropDown="false" showErrorMessage="false" showInputMessage="false" sqref="P5:P41" type="list">
      <formula1>"입금완료,입금예정,미입금"</formula1>
      <formula2>0</formula2>
    </dataValidation>
    <dataValidation allowBlank="true" errorStyle="stop" operator="between" showDropDown="false" showErrorMessage="false" showInputMessage="false" sqref="T5:T41" type="list">
      <formula1>"배차대기,배차완료,안내완료"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9"/>
    <col collapsed="false" customWidth="true" hidden="false" outlineLevel="0" max="3" min="3" style="1" width="11"/>
    <col collapsed="false" customWidth="true" hidden="false" outlineLevel="0" max="4" min="4" style="1" width="10"/>
    <col collapsed="false" customWidth="true" hidden="false" outlineLevel="0" max="5" min="5" style="1" width="14"/>
    <col collapsed="false" customWidth="true" hidden="false" outlineLevel="0" max="6" min="6" style="1" width="13"/>
    <col collapsed="false" customWidth="true" hidden="false" outlineLevel="0" max="8" min="7" style="1" width="15"/>
  </cols>
  <sheetData>
    <row r="1" customFormat="false" ht="22.5" hidden="false" customHeight="true" outlineLevel="0" collapsed="false">
      <c r="A1" s="29" t="s">
        <v>116</v>
      </c>
      <c r="B1" s="29"/>
      <c r="C1" s="29"/>
      <c r="D1" s="29"/>
      <c r="E1" s="29"/>
      <c r="F1" s="29"/>
      <c r="G1" s="29"/>
      <c r="H1" s="29"/>
    </row>
    <row r="2" customFormat="false" ht="13.5" hidden="false" customHeight="true" outlineLevel="0" collapsed="false">
      <c r="A2" s="3" t="s">
        <v>117</v>
      </c>
      <c r="B2" s="3"/>
      <c r="C2" s="3"/>
      <c r="D2" s="3"/>
      <c r="E2" s="3"/>
      <c r="F2" s="3"/>
      <c r="G2" s="3"/>
      <c r="H2" s="3"/>
    </row>
    <row r="4" customFormat="false" ht="27.75" hidden="false" customHeight="true" outlineLevel="0" collapsed="false">
      <c r="A4" s="4" t="s">
        <v>3</v>
      </c>
      <c r="B4" s="4" t="s">
        <v>23</v>
      </c>
      <c r="C4" s="4" t="s">
        <v>53</v>
      </c>
      <c r="D4" s="4" t="s">
        <v>118</v>
      </c>
      <c r="E4" s="4" t="s">
        <v>12</v>
      </c>
      <c r="F4" s="4" t="s">
        <v>13</v>
      </c>
      <c r="G4" s="4" t="s">
        <v>14</v>
      </c>
      <c r="H4" s="4" t="s">
        <v>119</v>
      </c>
    </row>
    <row r="5" customFormat="false" ht="15" hidden="false" customHeight="true" outlineLevel="0" collapsed="false">
      <c r="A5" s="30" t="s">
        <v>120</v>
      </c>
      <c r="B5" s="31" t="n">
        <f aca="false">COUNTIFS(예약장부!$B$5:$B$41,$A5,예약장부!$E$5:$E$41,"픽업")</f>
        <v>10</v>
      </c>
      <c r="C5" s="31" t="n">
        <f aca="false">COUNTIFS(예약장부!$B$5:$B$41,$A5,예약장부!$E$5:$E$41,"드랍오프")</f>
        <v>1</v>
      </c>
      <c r="D5" s="31" t="n">
        <f aca="false">B5+C5</f>
        <v>11</v>
      </c>
      <c r="E5" s="32" t="n">
        <f aca="false">SUMIFS(예약장부!$K$5:$K$41,예약장부!$B$5:$B$41,$A5)</f>
        <v>1015000</v>
      </c>
      <c r="F5" s="32" t="n">
        <f aca="false">SUMIFS(예약장부!$L$5:$L$41,예약장부!$B$5:$B$41,$A5)</f>
        <v>101500</v>
      </c>
      <c r="G5" s="32" t="n">
        <f aca="false">SUMIFS(예약장부!$M$5:$M$41,예약장부!$B$5:$B$41,$A5)</f>
        <v>1116500</v>
      </c>
      <c r="H5" s="33" t="n">
        <f aca="false">SUMIFS(예약장부!$O$5:$O$41,예약장부!$B$5:$B$41,$A5)</f>
        <v>1116500</v>
      </c>
    </row>
    <row r="6" customFormat="false" ht="15" hidden="false" customHeight="true" outlineLevel="0" collapsed="false">
      <c r="A6" s="30" t="s">
        <v>121</v>
      </c>
      <c r="B6" s="31" t="n">
        <f aca="false">COUNTIFS(예약장부!$B$5:$B$41,$A6,예약장부!$E$5:$E$41,"픽업")</f>
        <v>6</v>
      </c>
      <c r="C6" s="31" t="n">
        <f aca="false">COUNTIFS(예약장부!$B$5:$B$41,$A6,예약장부!$E$5:$E$41,"드랍오프")</f>
        <v>2</v>
      </c>
      <c r="D6" s="31" t="n">
        <f aca="false">B6+C6</f>
        <v>8</v>
      </c>
      <c r="E6" s="32" t="n">
        <f aca="false">SUMIFS(예약장부!$K$5:$K$41,예약장부!$B$5:$B$41,$A6)</f>
        <v>730000</v>
      </c>
      <c r="F6" s="32" t="n">
        <f aca="false">SUMIFS(예약장부!$L$5:$L$41,예약장부!$B$5:$B$41,$A6)</f>
        <v>73000</v>
      </c>
      <c r="G6" s="32" t="n">
        <f aca="false">SUMIFS(예약장부!$M$5:$M$41,예약장부!$B$5:$B$41,$A6)</f>
        <v>803000</v>
      </c>
      <c r="H6" s="33" t="n">
        <f aca="false">SUMIFS(예약장부!$O$5:$O$41,예약장부!$B$5:$B$41,$A6)</f>
        <v>643000</v>
      </c>
    </row>
    <row r="7" customFormat="false" ht="15" hidden="false" customHeight="true" outlineLevel="0" collapsed="false">
      <c r="A7" s="30" t="s">
        <v>122</v>
      </c>
      <c r="B7" s="31" t="n">
        <f aca="false">COUNTIFS(예약장부!$B$5:$B$41,$A7,예약장부!$E$5:$E$41,"픽업")</f>
        <v>0</v>
      </c>
      <c r="C7" s="31" t="n">
        <f aca="false">COUNTIFS(예약장부!$B$5:$B$41,$A7,예약장부!$E$5:$E$41,"드랍오프")</f>
        <v>0</v>
      </c>
      <c r="D7" s="31" t="n">
        <f aca="false">B7+C7</f>
        <v>0</v>
      </c>
      <c r="E7" s="32" t="n">
        <f aca="false">SUMIFS(예약장부!$K$5:$K$41,예약장부!$B$5:$B$41,$A7)</f>
        <v>0</v>
      </c>
      <c r="F7" s="32" t="n">
        <f aca="false">SUMIFS(예약장부!$L$5:$L$41,예약장부!$B$5:$B$41,$A7)</f>
        <v>0</v>
      </c>
      <c r="G7" s="32" t="n">
        <f aca="false">SUMIFS(예약장부!$M$5:$M$41,예약장부!$B$5:$B$41,$A7)</f>
        <v>0</v>
      </c>
      <c r="H7" s="33" t="n">
        <f aca="false">SUMIFS(예약장부!$O$5:$O$41,예약장부!$B$5:$B$41,$A7)</f>
        <v>0</v>
      </c>
    </row>
    <row r="8" customFormat="false" ht="15" hidden="false" customHeight="true" outlineLevel="0" collapsed="false">
      <c r="A8" s="30" t="s">
        <v>123</v>
      </c>
      <c r="B8" s="31" t="n">
        <f aca="false">COUNTIFS(예약장부!$B$5:$B$41,$A8,예약장부!$E$5:$E$41,"픽업")</f>
        <v>0</v>
      </c>
      <c r="C8" s="31" t="n">
        <f aca="false">COUNTIFS(예약장부!$B$5:$B$41,$A8,예약장부!$E$5:$E$41,"드랍오프")</f>
        <v>0</v>
      </c>
      <c r="D8" s="31" t="n">
        <f aca="false">B8+C8</f>
        <v>0</v>
      </c>
      <c r="E8" s="32" t="n">
        <f aca="false">SUMIFS(예약장부!$K$5:$K$41,예약장부!$B$5:$B$41,$A8)</f>
        <v>0</v>
      </c>
      <c r="F8" s="32" t="n">
        <f aca="false">SUMIFS(예약장부!$L$5:$L$41,예약장부!$B$5:$B$41,$A8)</f>
        <v>0</v>
      </c>
      <c r="G8" s="32" t="n">
        <f aca="false">SUMIFS(예약장부!$M$5:$M$41,예약장부!$B$5:$B$41,$A8)</f>
        <v>0</v>
      </c>
      <c r="H8" s="33" t="n">
        <f aca="false">SUMIFS(예약장부!$O$5:$O$41,예약장부!$B$5:$B$41,$A8)</f>
        <v>0</v>
      </c>
    </row>
    <row r="9" customFormat="false" ht="15" hidden="false" customHeight="true" outlineLevel="0" collapsed="false">
      <c r="A9" s="30" t="s">
        <v>124</v>
      </c>
      <c r="B9" s="31" t="n">
        <f aca="false">COUNTIFS(예약장부!$B$5:$B$41,$A9,예약장부!$E$5:$E$41,"픽업")</f>
        <v>0</v>
      </c>
      <c r="C9" s="31" t="n">
        <f aca="false">COUNTIFS(예약장부!$B$5:$B$41,$A9,예약장부!$E$5:$E$41,"드랍오프")</f>
        <v>0</v>
      </c>
      <c r="D9" s="31" t="n">
        <f aca="false">B9+C9</f>
        <v>0</v>
      </c>
      <c r="E9" s="32" t="n">
        <f aca="false">SUMIFS(예약장부!$K$5:$K$41,예약장부!$B$5:$B$41,$A9)</f>
        <v>0</v>
      </c>
      <c r="F9" s="32" t="n">
        <f aca="false">SUMIFS(예약장부!$L$5:$L$41,예약장부!$B$5:$B$41,$A9)</f>
        <v>0</v>
      </c>
      <c r="G9" s="32" t="n">
        <f aca="false">SUMIFS(예약장부!$M$5:$M$41,예약장부!$B$5:$B$41,$A9)</f>
        <v>0</v>
      </c>
      <c r="H9" s="33" t="n">
        <f aca="false">SUMIFS(예약장부!$O$5:$O$41,예약장부!$B$5:$B$41,$A9)</f>
        <v>0</v>
      </c>
    </row>
    <row r="10" customFormat="false" ht="15" hidden="false" customHeight="true" outlineLevel="0" collapsed="false">
      <c r="A10" s="30" t="s">
        <v>125</v>
      </c>
      <c r="B10" s="31" t="n">
        <f aca="false">COUNTIFS(예약장부!$B$5:$B$41,$A10,예약장부!$E$5:$E$41,"픽업")</f>
        <v>0</v>
      </c>
      <c r="C10" s="31" t="n">
        <f aca="false">COUNTIFS(예약장부!$B$5:$B$41,$A10,예약장부!$E$5:$E$41,"드랍오프")</f>
        <v>0</v>
      </c>
      <c r="D10" s="31" t="n">
        <f aca="false">B10+C10</f>
        <v>0</v>
      </c>
      <c r="E10" s="32" t="n">
        <f aca="false">SUMIFS(예약장부!$K$5:$K$41,예약장부!$B$5:$B$41,$A10)</f>
        <v>0</v>
      </c>
      <c r="F10" s="32" t="n">
        <f aca="false">SUMIFS(예약장부!$L$5:$L$41,예약장부!$B$5:$B$41,$A10)</f>
        <v>0</v>
      </c>
      <c r="G10" s="32" t="n">
        <f aca="false">SUMIFS(예약장부!$M$5:$M$41,예약장부!$B$5:$B$41,$A10)</f>
        <v>0</v>
      </c>
      <c r="H10" s="33" t="n">
        <f aca="false">SUMIFS(예약장부!$O$5:$O$41,예약장부!$B$5:$B$41,$A10)</f>
        <v>0</v>
      </c>
    </row>
    <row r="11" customFormat="false" ht="16.5" hidden="false" customHeight="true" outlineLevel="0" collapsed="false">
      <c r="A11" s="34" t="s">
        <v>126</v>
      </c>
      <c r="B11" s="34" t="n">
        <f aca="false">SUM(B5:B10)</f>
        <v>16</v>
      </c>
      <c r="C11" s="34" t="n">
        <f aca="false">SUM(C5:C10)</f>
        <v>3</v>
      </c>
      <c r="D11" s="34" t="n">
        <f aca="false">SUM(D5:D10)</f>
        <v>19</v>
      </c>
      <c r="E11" s="27" t="n">
        <f aca="false">SUM(E5:E10)</f>
        <v>1745000</v>
      </c>
      <c r="F11" s="27" t="n">
        <f aca="false">SUM(F5:F10)</f>
        <v>174500</v>
      </c>
      <c r="G11" s="27" t="n">
        <f aca="false">SUM(G5:G10)</f>
        <v>1919500</v>
      </c>
      <c r="H11" s="27" t="n">
        <f aca="false">SUM(H5:H10)</f>
        <v>1759500</v>
      </c>
    </row>
    <row r="13" customFormat="false" ht="18.75" hidden="false" customHeight="true" outlineLevel="0" collapsed="false">
      <c r="A13" s="35" t="s">
        <v>127</v>
      </c>
      <c r="B13" s="35"/>
      <c r="C13" s="35"/>
    </row>
    <row r="14" customFormat="false" ht="15" hidden="false" customHeight="true" outlineLevel="0" collapsed="false">
      <c r="A14" s="36" t="s">
        <v>128</v>
      </c>
      <c r="B14" s="36"/>
      <c r="C14" s="37" t="n">
        <f aca="false">COUNTIF(예약장부!$P$5:$P$41,"입금완료")</f>
        <v>8</v>
      </c>
    </row>
    <row r="15" customFormat="false" ht="16.5" hidden="false" customHeight="true" outlineLevel="0" collapsed="false">
      <c r="A15" s="36" t="s">
        <v>129</v>
      </c>
      <c r="B15" s="36"/>
      <c r="C15" s="38" t="n">
        <f aca="false">SUMIFS(예약장부!$O$5:$O$41,예약장부!$P$5:$P$41,"입금완료")</f>
        <v>797500</v>
      </c>
    </row>
    <row r="16" customFormat="false" ht="15" hidden="false" customHeight="true" outlineLevel="0" collapsed="false">
      <c r="A16" s="39" t="s">
        <v>130</v>
      </c>
      <c r="B16" s="39"/>
      <c r="C16" s="40" t="n">
        <f aca="false">COUNTIF(예약장부!$P$5:$P$41,"입금예정")</f>
        <v>6</v>
      </c>
    </row>
    <row r="17" customFormat="false" ht="16.5" hidden="false" customHeight="true" outlineLevel="0" collapsed="false">
      <c r="A17" s="39" t="s">
        <v>131</v>
      </c>
      <c r="B17" s="39"/>
      <c r="C17" s="41" t="n">
        <f aca="false">SUMIFS(예약장부!$O$5:$O$41,예약장부!$P$5:$P$41,"입금예정")</f>
        <v>616000</v>
      </c>
    </row>
    <row r="18" customFormat="false" ht="15" hidden="false" customHeight="true" outlineLevel="0" collapsed="false">
      <c r="A18" s="36" t="s">
        <v>132</v>
      </c>
      <c r="B18" s="36"/>
      <c r="C18" s="37" t="n">
        <f aca="false">COUNTIF(예약장부!$P$5:$P$41,"미입금")</f>
        <v>5</v>
      </c>
    </row>
    <row r="19" customFormat="false" ht="16.5" hidden="false" customHeight="true" outlineLevel="0" collapsed="false">
      <c r="A19" s="36" t="s">
        <v>133</v>
      </c>
      <c r="B19" s="36"/>
      <c r="C19" s="38" t="n">
        <f aca="false">SUMIFS(예약장부!$O$5:$O$41,예약장부!$P$5:$P$41,"미입금")</f>
        <v>346000</v>
      </c>
    </row>
    <row r="21" customFormat="false" ht="13.5" hidden="false" customHeight="true" outlineLevel="0" collapsed="false">
      <c r="A21" s="3" t="s">
        <v>134</v>
      </c>
      <c r="B21" s="3"/>
      <c r="C21" s="3"/>
      <c r="D21" s="3"/>
      <c r="E21" s="3"/>
      <c r="F21" s="3"/>
      <c r="G21" s="3"/>
      <c r="H21" s="3"/>
    </row>
  </sheetData>
  <mergeCells count="10">
    <mergeCell ref="A1:H1"/>
    <mergeCell ref="A2:H2"/>
    <mergeCell ref="A13:C13"/>
    <mergeCell ref="A14:B14"/>
    <mergeCell ref="A15:B15"/>
    <mergeCell ref="A16:B16"/>
    <mergeCell ref="A17:B17"/>
    <mergeCell ref="A18:B18"/>
    <mergeCell ref="A19:B19"/>
    <mergeCell ref="A21:H2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8"/>
    <col collapsed="false" customWidth="true" hidden="false" outlineLevel="0" max="3" min="2" style="1" width="13"/>
    <col collapsed="false" customWidth="true" hidden="false" outlineLevel="0" max="4" min="4" style="1" width="24"/>
  </cols>
  <sheetData>
    <row r="1" customFormat="false" ht="22.5" hidden="false" customHeight="true" outlineLevel="0" collapsed="false">
      <c r="A1" s="29" t="s">
        <v>135</v>
      </c>
      <c r="B1" s="29"/>
      <c r="C1" s="29"/>
      <c r="D1" s="29"/>
    </row>
    <row r="2" customFormat="false" ht="13.5" hidden="false" customHeight="true" outlineLevel="0" collapsed="false">
      <c r="A2" s="3" t="s">
        <v>136</v>
      </c>
      <c r="B2" s="3"/>
      <c r="C2" s="3"/>
      <c r="D2" s="3"/>
    </row>
    <row r="4" customFormat="false" ht="15" hidden="false" customHeight="true" outlineLevel="0" collapsed="false">
      <c r="A4" s="42" t="s">
        <v>137</v>
      </c>
      <c r="B4" s="43" t="s">
        <v>138</v>
      </c>
      <c r="C4" s="43" t="s">
        <v>139</v>
      </c>
      <c r="D4" s="42" t="s">
        <v>140</v>
      </c>
    </row>
    <row r="5" customFormat="false" ht="15" hidden="false" customHeight="true" outlineLevel="0" collapsed="false">
      <c r="A5" s="44" t="s">
        <v>26</v>
      </c>
      <c r="B5" s="32" t="n">
        <v>90000</v>
      </c>
      <c r="C5" s="32" t="n">
        <v>100000</v>
      </c>
      <c r="D5" s="45"/>
    </row>
    <row r="6" customFormat="false" ht="15" hidden="false" customHeight="true" outlineLevel="0" collapsed="false">
      <c r="A6" s="44" t="s">
        <v>55</v>
      </c>
      <c r="B6" s="32" t="n">
        <v>80000</v>
      </c>
      <c r="C6" s="32" t="n">
        <v>90000</v>
      </c>
      <c r="D6" s="45"/>
    </row>
    <row r="7" customFormat="false" ht="15" hidden="false" customHeight="true" outlineLevel="0" collapsed="false">
      <c r="A7" s="44" t="s">
        <v>33</v>
      </c>
      <c r="B7" s="32" t="n">
        <v>80000</v>
      </c>
      <c r="C7" s="32" t="n">
        <v>80000</v>
      </c>
      <c r="D7" s="45" t="s">
        <v>141</v>
      </c>
    </row>
    <row r="8" customFormat="false" ht="15" hidden="false" customHeight="true" outlineLevel="0" collapsed="false">
      <c r="A8" s="44" t="s">
        <v>38</v>
      </c>
      <c r="B8" s="32" t="n">
        <v>85000</v>
      </c>
      <c r="C8" s="32" t="n">
        <v>90000</v>
      </c>
      <c r="D8" s="45"/>
    </row>
    <row r="9" customFormat="false" ht="15" hidden="false" customHeight="true" outlineLevel="0" collapsed="false">
      <c r="A9" s="44" t="s">
        <v>142</v>
      </c>
      <c r="B9" s="32" t="n">
        <v>75000</v>
      </c>
      <c r="C9" s="32" t="n">
        <v>80000</v>
      </c>
      <c r="D9" s="45"/>
    </row>
    <row r="10" customFormat="false" ht="15" hidden="false" customHeight="true" outlineLevel="0" collapsed="false">
      <c r="A10" s="44" t="s">
        <v>143</v>
      </c>
      <c r="B10" s="32" t="n">
        <v>50000</v>
      </c>
      <c r="C10" s="32" t="n">
        <v>50000</v>
      </c>
      <c r="D10" s="46" t="s">
        <v>144</v>
      </c>
    </row>
    <row r="11" customFormat="false" ht="15" hidden="false" customHeight="true" outlineLevel="0" collapsed="false">
      <c r="A11" s="44" t="s">
        <v>145</v>
      </c>
      <c r="B11" s="32" t="n">
        <v>70000</v>
      </c>
      <c r="C11" s="32" t="n">
        <v>70000</v>
      </c>
      <c r="D11" s="46" t="s">
        <v>144</v>
      </c>
    </row>
    <row r="12" customFormat="false" ht="15" hidden="false" customHeight="true" outlineLevel="0" collapsed="false">
      <c r="A12" s="44" t="s">
        <v>146</v>
      </c>
      <c r="B12" s="32" t="n">
        <v>90000</v>
      </c>
      <c r="C12" s="32" t="n">
        <v>90000</v>
      </c>
      <c r="D12" s="46" t="s">
        <v>144</v>
      </c>
    </row>
    <row r="13" customFormat="false" ht="15" hidden="false" customHeight="true" outlineLevel="0" collapsed="false">
      <c r="A13" s="44" t="s">
        <v>147</v>
      </c>
      <c r="B13" s="32" t="n">
        <v>370000</v>
      </c>
      <c r="C13" s="32" t="n">
        <v>370000</v>
      </c>
      <c r="D13" s="46" t="s">
        <v>148</v>
      </c>
    </row>
    <row r="14" customFormat="false" ht="15" hidden="false" customHeight="true" outlineLevel="0" collapsed="false">
      <c r="A14" s="47" t="s">
        <v>149</v>
      </c>
      <c r="B14" s="32" t="n">
        <v>320000</v>
      </c>
      <c r="C14" s="32" t="n">
        <v>320000</v>
      </c>
      <c r="D14" s="46" t="s">
        <v>150</v>
      </c>
    </row>
    <row r="15" customFormat="false" ht="15" hidden="false" customHeight="true" outlineLevel="0" collapsed="false">
      <c r="A15" s="44" t="s">
        <v>151</v>
      </c>
      <c r="B15" s="32" t="n">
        <v>320000</v>
      </c>
      <c r="C15" s="32" t="n">
        <v>320000</v>
      </c>
      <c r="D15" s="46" t="s">
        <v>150</v>
      </c>
    </row>
    <row r="16" customFormat="false" ht="15" hidden="false" customHeight="true" outlineLevel="0" collapsed="false">
      <c r="A16" s="48" t="s">
        <v>152</v>
      </c>
      <c r="B16" s="49" t="n">
        <v>20000</v>
      </c>
      <c r="C16" s="49" t="n">
        <v>20000</v>
      </c>
      <c r="D16" s="50" t="s">
        <v>153</v>
      </c>
    </row>
    <row r="17" customFormat="false" ht="15" hidden="false" customHeight="true" outlineLevel="0" collapsed="false">
      <c r="A17" s="51" t="s">
        <v>154</v>
      </c>
      <c r="B17" s="49" t="n">
        <v>10000</v>
      </c>
      <c r="C17" s="49" t="n">
        <v>10000</v>
      </c>
      <c r="D17" s="52" t="s">
        <v>155</v>
      </c>
    </row>
    <row r="19" customFormat="false" ht="15" hidden="false" customHeight="true" outlineLevel="0" collapsed="false">
      <c r="A19" s="53" t="s">
        <v>156</v>
      </c>
    </row>
    <row r="20" customFormat="false" ht="15" hidden="false" customHeight="true" outlineLevel="0" collapsed="false">
      <c r="A20" s="54" t="s">
        <v>157</v>
      </c>
      <c r="B20" s="44" t="s">
        <v>158</v>
      </c>
      <c r="C20" s="44"/>
      <c r="D20" s="44"/>
    </row>
    <row r="21" customFormat="false" ht="15" hidden="false" customHeight="true" outlineLevel="0" collapsed="false">
      <c r="A21" s="54" t="s">
        <v>159</v>
      </c>
      <c r="B21" s="47" t="s">
        <v>160</v>
      </c>
      <c r="C21" s="47"/>
      <c r="D21" s="47"/>
    </row>
    <row r="22" customFormat="false" ht="15" hidden="false" customHeight="true" outlineLevel="0" collapsed="false">
      <c r="A22" s="54" t="s">
        <v>39</v>
      </c>
      <c r="B22" s="44" t="s">
        <v>161</v>
      </c>
      <c r="C22" s="44"/>
      <c r="D22" s="44"/>
    </row>
  </sheetData>
  <mergeCells count="5">
    <mergeCell ref="A1:D1"/>
    <mergeCell ref="A2:D2"/>
    <mergeCell ref="B20:D20"/>
    <mergeCell ref="B21:D21"/>
    <mergeCell ref="B22:D2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2026-08-03T14:11:45Z</dcterms:created>
  <dc:creator>openpyxl</dc:creator>
  <dc:description/>
  <dc:language>en-US</dc:language>
  <cp:lastModifiedBy/>
  <dcterms:modified xsi:type="dcterms:W3CDTF">2026-08-23T09:51:08Z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